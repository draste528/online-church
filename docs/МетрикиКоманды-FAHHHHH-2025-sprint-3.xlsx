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xmlns:r="http://schemas.openxmlformats.org/officeDocument/2006/relationships" name="Скорость работы команды" sheetId="1" state="visible" r:id="rId1"/>
    <sheet xmlns:r="http://schemas.openxmlformats.org/officeDocument/2006/relationships" name="Время работы команды" sheetId="2" state="visible" r:id="rId2"/>
    <sheet xmlns:r="http://schemas.openxmlformats.org/officeDocument/2006/relationships" name="Статистика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22">
    <font>
      <name val="Calibri"/>
      <charset val="204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204"/>
      <family val="2"/>
      <b val="1"/>
      <color theme="1"/>
      <sz val="16"/>
    </font>
    <font>
      <name val="Calibri"/>
      <charset val="204"/>
      <family val="2"/>
      <b val="1"/>
      <color rgb="FFFF0000"/>
      <sz val="11"/>
    </font>
    <font>
      <name val="Calibri"/>
      <charset val="204"/>
      <family val="2"/>
      <b val="1"/>
      <color theme="1"/>
      <sz val="11"/>
    </font>
    <font>
      <name val="Calibri"/>
      <charset val="204"/>
      <family val="2"/>
      <color theme="0" tint="-0.05"/>
      <sz val="11"/>
    </font>
    <font>
      <name val="Calibri"/>
      <charset val="204"/>
      <family val="2"/>
      <i val="1"/>
      <color theme="1"/>
      <sz val="11"/>
    </font>
    <font>
      <name val="Calibri"/>
      <family val="2"/>
      <b val="1"/>
      <color rgb="FF44546A"/>
      <sz val="16"/>
    </font>
    <font>
      <name val="Calibri"/>
      <family val="2"/>
      <color rgb="FF44546A"/>
      <sz val="9"/>
    </font>
    <font>
      <name val="Calibri"/>
      <family val="2"/>
      <b val="1"/>
      <color rgb="FF44546A"/>
      <sz val="9"/>
    </font>
    <font>
      <name val="Calibri"/>
      <charset val="204"/>
      <family val="2"/>
      <color rgb="FFFF0000"/>
      <sz val="11"/>
    </font>
    <font>
      <name val="Arial"/>
      <charset val="204"/>
      <family val="2"/>
      <color rgb="FF373A3C"/>
      <sz val="9"/>
    </font>
    <font>
      <name val="Calibri"/>
      <charset val="1"/>
      <family val="0"/>
      <color rgb="FFFF0000"/>
      <sz val="11"/>
    </font>
    <font>
      <name val="Calibri"/>
      <charset val="204"/>
      <family val="2"/>
      <b val="1"/>
      <sz val="11"/>
    </font>
    <font>
      <name val="Calibri"/>
      <charset val="1"/>
      <family val="0"/>
      <b val="1"/>
      <sz val="14"/>
    </font>
    <font>
      <name val="Calibri"/>
      <charset val="1"/>
      <family val="0"/>
      <b val="1"/>
      <sz val="11"/>
    </font>
    <font>
      <name val="Calibri"/>
      <charset val="1"/>
      <family val="0"/>
      <sz val="11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</fonts>
  <fills count="10">
    <fill>
      <patternFill/>
    </fill>
    <fill>
      <patternFill patternType="gray125"/>
    </fill>
    <fill>
      <patternFill patternType="solid">
        <fgColor theme="0"/>
        <bgColor rgb="FFF2F2F2"/>
      </patternFill>
    </fill>
    <fill>
      <patternFill patternType="solid">
        <fgColor theme="6" tint="0.5999"/>
        <bgColor rgb="FFE3CAB9"/>
      </patternFill>
    </fill>
    <fill>
      <patternFill patternType="solid">
        <fgColor theme="8" tint="0.5999"/>
        <bgColor rgb="FFC5E0B3"/>
      </patternFill>
    </fill>
    <fill>
      <patternFill patternType="solid">
        <fgColor theme="9" tint="-0.1"/>
        <bgColor rgb="FF9ACBFD"/>
      </patternFill>
    </fill>
    <fill>
      <patternFill patternType="solid">
        <fgColor theme="2"/>
        <bgColor rgb="FFE0E5EB"/>
      </patternFill>
    </fill>
    <fill>
      <patternFill patternType="solid">
        <fgColor theme="7" tint="0.5999"/>
        <bgColor rgb="FFF2F2F2"/>
      </patternFill>
    </fill>
    <fill>
      <patternFill patternType="solid">
        <fgColor theme="7"/>
        <bgColor rgb="FFC5E0B4"/>
      </patternFill>
    </fill>
    <fill>
      <patternFill patternType="solid">
        <fgColor theme="4" tint="0.5999"/>
        <bgColor rgb="FFCEE6F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6" fillId="3" borderId="1" applyAlignment="1" pivotButton="0" quotePrefix="0" xfId="0">
      <alignment horizontal="general" vertical="bottom"/>
    </xf>
    <xf numFmtId="0" fontId="7" fillId="3" borderId="1" applyAlignment="1" pivotButton="0" quotePrefix="0" xfId="0">
      <alignment horizontal="general" vertical="bottom"/>
    </xf>
    <xf numFmtId="0" fontId="0" fillId="4" borderId="1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bottom"/>
    </xf>
    <xf numFmtId="0" fontId="7" fillId="4" borderId="1" applyAlignment="1" pivotButton="0" quotePrefix="0" xfId="0">
      <alignment horizontal="general" vertical="bottom"/>
    </xf>
    <xf numFmtId="0" fontId="0" fillId="5" borderId="1" applyAlignment="1" pivotButton="0" quotePrefix="0" xfId="0">
      <alignment horizontal="general" vertical="bottom"/>
    </xf>
    <xf numFmtId="0" fontId="6" fillId="5" borderId="1" applyAlignment="1" pivotButton="0" quotePrefix="0" xfId="0">
      <alignment horizontal="general" vertical="bottom"/>
    </xf>
    <xf numFmtId="0" fontId="7" fillId="5" borderId="1" applyAlignment="1" pivotButton="0" quotePrefix="0" xfId="0">
      <alignment horizontal="general" vertical="bottom"/>
    </xf>
    <xf numFmtId="0" fontId="8" fillId="5" borderId="1" applyAlignment="1" pivotButton="0" quotePrefix="0" xfId="0">
      <alignment horizontal="general" vertical="bottom"/>
    </xf>
    <xf numFmtId="0" fontId="4" fillId="0" borderId="0" applyAlignment="1" pivotButton="0" quotePrefix="0" xfId="0">
      <alignment horizontal="left" vertical="bottom"/>
    </xf>
    <xf numFmtId="0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left" vertical="center" indent="1"/>
    </xf>
    <xf numFmtId="0" fontId="6" fillId="2" borderId="1" applyAlignment="1" pivotButton="0" quotePrefix="0" xfId="0">
      <alignment horizontal="center" vertical="bottom"/>
    </xf>
    <xf numFmtId="0" fontId="6" fillId="6" borderId="1" applyAlignment="1" pivotButton="0" quotePrefix="0" xfId="0">
      <alignment horizontal="general" vertical="bottom"/>
    </xf>
    <xf numFmtId="0" fontId="0" fillId="7" borderId="1" applyAlignment="1" pivotButton="0" quotePrefix="0" xfId="0">
      <alignment horizontal="general" vertical="bottom"/>
    </xf>
    <xf numFmtId="0" fontId="14" fillId="0" borderId="1" applyAlignment="1" pivotButton="0" quotePrefix="0" xfId="0">
      <alignment horizontal="general" vertical="bottom"/>
    </xf>
    <xf numFmtId="0" fontId="5" fillId="0" borderId="2" applyAlignment="1" pivotButton="0" quotePrefix="0" xfId="0">
      <alignment horizontal="general" vertical="bottom"/>
    </xf>
    <xf numFmtId="0" fontId="13" fillId="0" borderId="1" applyAlignment="1" pivotButton="0" quotePrefix="0" xfId="0">
      <alignment horizontal="left" vertical="center" indent="1"/>
    </xf>
    <xf numFmtId="0" fontId="5" fillId="6" borderId="1" applyAlignment="1" pivotButton="0" quotePrefix="0" xfId="0">
      <alignment horizontal="general" vertical="bottom"/>
    </xf>
    <xf numFmtId="0" fontId="15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6" fillId="8" borderId="3" applyAlignment="1" pivotButton="0" quotePrefix="0" xfId="0">
      <alignment horizontal="general" vertical="bottom"/>
    </xf>
    <xf numFmtId="0" fontId="0" fillId="9" borderId="1" applyAlignment="1" pivotButton="0" quotePrefix="0" xfId="0">
      <alignment horizontal="general" vertical="bottom"/>
    </xf>
    <xf numFmtId="9" fontId="0" fillId="8" borderId="1" applyAlignment="1" pivotButton="0" quotePrefix="0" xfId="0">
      <alignment horizontal="general" vertical="bottom"/>
    </xf>
    <xf numFmtId="0" fontId="6" fillId="8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general" vertical="bottom"/>
    </xf>
    <xf numFmtId="9" fontId="18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6" fillId="3" borderId="1" applyAlignment="1" pivotButton="0" quotePrefix="0" xfId="0">
      <alignment horizontal="general" vertical="bottom"/>
    </xf>
    <xf numFmtId="0" fontId="7" fillId="3" borderId="1" applyAlignment="1" pivotButton="0" quotePrefix="0" xfId="0">
      <alignment horizontal="general" vertical="bottom"/>
    </xf>
    <xf numFmtId="0" fontId="0" fillId="4" borderId="1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bottom"/>
    </xf>
    <xf numFmtId="0" fontId="7" fillId="4" borderId="1" applyAlignment="1" pivotButton="0" quotePrefix="0" xfId="0">
      <alignment horizontal="general" vertical="bottom"/>
    </xf>
    <xf numFmtId="0" fontId="0" fillId="5" borderId="1" applyAlignment="1" pivotButton="0" quotePrefix="0" xfId="0">
      <alignment horizontal="general" vertical="bottom"/>
    </xf>
    <xf numFmtId="0" fontId="6" fillId="5" borderId="1" applyAlignment="1" pivotButton="0" quotePrefix="0" xfId="0">
      <alignment horizontal="general" vertical="bottom"/>
    </xf>
    <xf numFmtId="0" fontId="7" fillId="5" borderId="1" applyAlignment="1" pivotButton="0" quotePrefix="0" xfId="0">
      <alignment horizontal="general" vertical="bottom"/>
    </xf>
    <xf numFmtId="0" fontId="8" fillId="5" borderId="1" applyAlignment="1" pivotButton="0" quotePrefix="0" xfId="0">
      <alignment horizontal="general" vertical="bottom"/>
    </xf>
    <xf numFmtId="0" fontId="4" fillId="0" borderId="0" applyAlignment="1" pivotButton="0" quotePrefix="0" xfId="0">
      <alignment horizontal="left" vertical="bottom"/>
    </xf>
    <xf numFmtId="0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left" vertical="center" indent="1"/>
    </xf>
    <xf numFmtId="0" fontId="6" fillId="2" borderId="1" applyAlignment="1" pivotButton="0" quotePrefix="0" xfId="0">
      <alignment horizontal="center" vertical="bottom"/>
    </xf>
    <xf numFmtId="0" fontId="0" fillId="0" borderId="2" pivotButton="0" quotePrefix="0" xfId="0"/>
    <xf numFmtId="0" fontId="6" fillId="6" borderId="1" applyAlignment="1" pivotButton="0" quotePrefix="0" xfId="0">
      <alignment horizontal="general" vertical="bottom"/>
    </xf>
    <xf numFmtId="0" fontId="0" fillId="7" borderId="1" applyAlignment="1" pivotButton="0" quotePrefix="0" xfId="0">
      <alignment horizontal="general" vertical="bottom"/>
    </xf>
    <xf numFmtId="0" fontId="14" fillId="0" borderId="1" applyAlignment="1" pivotButton="0" quotePrefix="0" xfId="0">
      <alignment horizontal="general" vertical="bottom"/>
    </xf>
    <xf numFmtId="0" fontId="5" fillId="0" borderId="2" applyAlignment="1" pivotButton="0" quotePrefix="0" xfId="0">
      <alignment horizontal="general" vertical="bottom"/>
    </xf>
    <xf numFmtId="0" fontId="13" fillId="0" borderId="1" applyAlignment="1" pivotButton="0" quotePrefix="0" xfId="0">
      <alignment horizontal="left" vertical="center" indent="1"/>
    </xf>
    <xf numFmtId="0" fontId="5" fillId="6" borderId="1" applyAlignment="1" pivotButton="0" quotePrefix="0" xfId="0">
      <alignment horizontal="general" vertical="bottom"/>
    </xf>
    <xf numFmtId="0" fontId="15" fillId="0" borderId="1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6" fillId="8" borderId="3" applyAlignment="1" pivotButton="0" quotePrefix="0" xfId="0">
      <alignment horizontal="general" vertical="bottom"/>
    </xf>
    <xf numFmtId="0" fontId="0" fillId="9" borderId="1" applyAlignment="1" pivotButton="0" quotePrefix="0" xfId="0">
      <alignment horizontal="general" vertical="bottom"/>
    </xf>
    <xf numFmtId="9" fontId="0" fillId="8" borderId="1" applyAlignment="1" pivotButton="0" quotePrefix="0" xfId="0">
      <alignment horizontal="general" vertical="bottom"/>
    </xf>
    <xf numFmtId="0" fontId="6" fillId="8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general" vertical="bottom"/>
    </xf>
    <xf numFmtId="9" fontId="18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C5E0B4"/>
      <rgbColor rgb="FF0000FF"/>
      <rgbColor rgb="FFCDE5BD"/>
      <rgbColor rgb="FFFF00FF"/>
      <rgbColor rgb="FF97C8FC"/>
      <rgbColor rgb="FF800000"/>
      <rgbColor rgb="FF008000"/>
      <rgbColor rgb="FF000080"/>
      <rgbColor rgb="FF61A335"/>
      <rgbColor rgb="FF800080"/>
      <rgbColor rgb="FFE7E6E6"/>
      <rgbColor rgb="FFAFC79F"/>
      <rgbColor rgb="FF8B8B8B"/>
      <rgbColor rgb="FF7AADDF"/>
      <rgbColor rgb="FFD9D9D9"/>
      <rgbColor rgb="FFFCEBDF"/>
      <rgbColor rgb="FFD0E7FD"/>
      <rgbColor rgb="FF660066"/>
      <rgbColor rgb="FFF18C59"/>
      <rgbColor rgb="FF0066CC"/>
      <rgbColor rgb="FFAED3FB"/>
      <rgbColor rgb="FF000080"/>
      <rgbColor rgb="FFFF00FF"/>
      <rgbColor rgb="FFC5E0B3"/>
      <rgbColor rgb="FF9ACBFD"/>
      <rgbColor rgb="FF800080"/>
      <rgbColor rgb="FF800000"/>
      <rgbColor rgb="FFF2F2F2"/>
      <rgbColor rgb="FF0000FF"/>
      <rgbColor rgb="FF8AC3FB"/>
      <rgbColor rgb="FFCEE6FE"/>
      <rgbColor rgb="FFE8F3E1"/>
      <rgbColor rgb="FFFBE5D5"/>
      <rgbColor rgb="FF99CCFF"/>
      <rgbColor rgb="FFE3CAB9"/>
      <rgbColor rgb="FFACC6E1"/>
      <rgbColor rgb="FFF8CBAD"/>
      <rgbColor rgb="FFA6C6E7"/>
      <rgbColor rgb="FF6EADEB"/>
      <rgbColor rgb="FFADCC99"/>
      <rgbColor rgb="FFDFCCBD"/>
      <rgbColor rgb="FFED7D31"/>
      <rgbColor rgb="FFE36C1A"/>
      <rgbColor rgb="FF44546A"/>
      <rgbColor rgb="FF82B664"/>
      <rgbColor rgb="FF003366"/>
      <rgbColor rgb="FF639A3F"/>
      <rgbColor rgb="FF003300"/>
      <rgbColor rgb="FF333300"/>
      <rgbColor rgb="FFD36F2B"/>
      <rgbColor rgb="FFE0E5EB"/>
      <rgbColor rgb="FF333399"/>
      <rgbColor rgb="FF373A3C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lang="ru-RU" sz="1600" b="1" strike="noStrike" spc="-1">
                <a:solidFill>
                  <a:srgbClr val="44546a"/>
                </a:solidFill>
                <a:latin typeface="Calibri"/>
              </a:defRPr>
            </a:pPr>
            <a:r>
              <a:rPr lang="ru-RU" sz="1600" b="1" strike="noStrike" spc="-1">
                <a:solidFill>
                  <a:srgbClr val="44546a"/>
                </a:solidFill>
                <a:latin typeface="Calibri"/>
              </a:rPr>
              <a:t>Скорость работы команды / Story Points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'Скорость работы команды'!$B$4</f>
              <strCache>
                <ptCount val="1"/>
                <pt idx="0">
                  <v>Взято задач на спринт</v>
                </pt>
              </strCache>
            </strRef>
          </tx>
          <spPr>
            <a:gradFill xmlns:a="http://schemas.openxmlformats.org/drawingml/2006/main">
              <a:gsLst>
                <a:gs pos="0">
                  <a:srgbClr val="fcebdf"/>
                </a:gs>
                <a:gs pos="50000">
                  <a:srgbClr val="fce4d2"/>
                </a:gs>
                <a:gs pos="100000">
                  <a:srgbClr val="e3cab9"/>
                </a:gs>
              </a:gsLst>
              <a:lin ang="5400000"/>
            </a:gradFill>
            <a:ln xmlns:a="http://schemas.openxmlformats.org/drawingml/2006/main" w="0">
              <a:noFill/>
              <a:prstDash val="solid"/>
            </a:ln>
          </spPr>
          <invertIfNegative val="0"/>
          <dLbls>
            <numFmt formatCode="General"/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900" b="0" strike="noStrike" spc="-1">
                    <a:solidFill>
                      <a:srgbClr val="44546a"/>
                    </a:solidFill>
                    <a:latin typeface="Calibri"/>
                  </a:defRPr>
                </a:pPr>
                <a:r>
                  <a:t/>
                </a:r>
              </a:p>
            </txPr>
            <dLblPos val="inEnd"/>
            <showLegendKey val="0"/>
            <showVal val="1"/>
            <showCatName val="0"/>
            <showSerName val="0"/>
            <showPercent val="0"/>
            <showLeaderLines val="0"/>
          </dLbls>
          <val>
            <numRef>
              <f>'Скорость работы команды'!$C$4:$J$4</f>
              <numCache>
                <formatCode>General</formatCode>
                <ptCount val="8"/>
                <pt idx="0">
                  <v>12</v>
                </pt>
                <pt idx="1">
                  <v>12</v>
                </pt>
              </numCache>
            </numRef>
          </val>
        </ser>
        <ser>
          <idx val="1"/>
          <order val="1"/>
          <tx>
            <strRef>
              <f>'Скорость работы команды'!$B$5</f>
              <strCache>
                <ptCount val="1"/>
                <pt idx="0">
                  <v>Выполнено задач</v>
                </pt>
              </strCache>
            </strRef>
          </tx>
          <spPr>
            <a:gradFill xmlns:a="http://schemas.openxmlformats.org/drawingml/2006/main">
              <a:gsLst>
                <a:gs pos="0">
                  <a:srgbClr val="f18c59"/>
                </a:gs>
                <a:gs pos="50000">
                  <a:srgbClr val="f57a27"/>
                </a:gs>
                <a:gs pos="100000">
                  <a:srgbClr val="e36c1a"/>
                </a:gs>
              </a:gsLst>
              <a:lin ang="5400000"/>
            </a:gradFill>
            <a:ln xmlns:a="http://schemas.openxmlformats.org/drawingml/2006/main" w="0">
              <a:noFill/>
              <a:prstDash val="solid"/>
            </a:ln>
          </spPr>
          <invertIfNegative val="0"/>
          <dLbls>
            <numFmt formatCode="General"/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900" b="0" strike="noStrike" spc="-1">
                    <a:solidFill>
                      <a:srgbClr val="44546a"/>
                    </a:solidFill>
                    <a:latin typeface="Calibri"/>
                  </a:defRPr>
                </a:pPr>
                <a:r>
                  <a:t/>
                </a:r>
              </a:p>
            </txPr>
            <dLblPos val="inEnd"/>
            <showLegendKey val="0"/>
            <showVal val="1"/>
            <showCatName val="0"/>
            <showSerName val="0"/>
            <showPercent val="0"/>
            <showLeaderLines val="0"/>
          </dLbls>
          <val>
            <numRef>
              <f>'Скорость работы команды'!$C$5:$J$5</f>
              <numCache>
                <formatCode>General</formatCode>
                <ptCount val="8"/>
                <pt idx="0">
                  <v>10</v>
                </pt>
                <pt idx="1">
                  <v>7</v>
                </pt>
              </numCache>
            </numRef>
          </val>
        </ser>
        <ser>
          <idx val="2"/>
          <order val="2"/>
          <tx>
            <strRef>
              <f>'Скорость работы команды'!$B$6</f>
              <strCache>
                <ptCount val="1"/>
                <pt idx="0">
                  <v>Взято SP на спринт</v>
                </pt>
              </strCache>
            </strRef>
          </tx>
          <spPr>
            <a:gradFill xmlns:a="http://schemas.openxmlformats.org/drawingml/2006/main">
              <a:gsLst>
                <a:gs pos="0">
                  <a:srgbClr val="cde5bd"/>
                </a:gs>
                <a:gs pos="50000">
                  <a:srgbClr val="c4e1b0"/>
                </a:gs>
                <a:gs pos="100000">
                  <a:srgbClr val="adcc99"/>
                </a:gs>
              </a:gsLst>
              <a:lin ang="5400000"/>
            </a:gradFill>
            <a:ln xmlns:a="http://schemas.openxmlformats.org/drawingml/2006/main" w="0">
              <a:noFill/>
              <a:prstDash val="solid"/>
            </a:ln>
          </spPr>
          <invertIfNegative val="0"/>
          <dLbls>
            <numFmt formatCode="General"/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900" b="0" strike="noStrike" spc="-1">
                    <a:solidFill>
                      <a:srgbClr val="44546a"/>
                    </a:solidFill>
                    <a:latin typeface="Calibri"/>
                  </a:defRPr>
                </a:pPr>
                <a:r>
                  <a:t/>
                </a:r>
              </a:p>
            </txPr>
            <dLblPos val="inEnd"/>
            <showLegendKey val="0"/>
            <showVal val="1"/>
            <showCatName val="0"/>
            <showSerName val="0"/>
            <showPercent val="0"/>
            <showLeaderLines val="0"/>
          </dLbls>
          <val>
            <numRef>
              <f>'Скорость работы команды'!$C$6:$J$6</f>
              <numCache>
                <formatCode>General</formatCode>
                <ptCount val="8"/>
                <pt idx="0">
                  <v>42</v>
                </pt>
                <pt idx="1">
                  <v>55</v>
                </pt>
              </numCache>
            </numRef>
          </val>
        </ser>
        <ser>
          <idx val="3"/>
          <order val="3"/>
          <tx>
            <strRef>
              <f>'Скорость работы команды'!$B$7</f>
              <strCache>
                <ptCount val="1"/>
                <pt idx="0">
                  <v>Выполнено SP</v>
                </pt>
              </strCache>
            </strRef>
          </tx>
          <spPr>
            <a:gradFill xmlns:a="http://schemas.openxmlformats.org/drawingml/2006/main">
              <a:gsLst>
                <a:gs pos="0">
                  <a:srgbClr val="82b664"/>
                </a:gs>
                <a:gs pos="50000">
                  <a:srgbClr val="6eb142"/>
                </a:gs>
                <a:gs pos="100000">
                  <a:srgbClr val="61a335"/>
                </a:gs>
              </a:gsLst>
              <a:lin ang="5400000"/>
            </a:gradFill>
            <a:ln xmlns:a="http://schemas.openxmlformats.org/drawingml/2006/main" w="0">
              <a:noFill/>
              <a:prstDash val="solid"/>
            </a:ln>
          </spPr>
          <invertIfNegative val="0"/>
          <dLbls>
            <numFmt formatCode="General"/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900" b="0" strike="noStrike" spc="-1">
                    <a:solidFill>
                      <a:srgbClr val="44546a"/>
                    </a:solidFill>
                    <a:latin typeface="Calibri"/>
                  </a:defRPr>
                </a:pPr>
                <a:r>
                  <a:t/>
                </a:r>
              </a:p>
            </txPr>
            <dLblPos val="inEnd"/>
            <showLegendKey val="0"/>
            <showVal val="1"/>
            <showCatName val="0"/>
            <showSerName val="0"/>
            <showPercent val="0"/>
            <showLeaderLines val="0"/>
          </dLbls>
          <val>
            <numRef>
              <f>'Скорость работы команды'!$C$7:$J$7</f>
              <numCache>
                <formatCode>General</formatCode>
                <ptCount val="8"/>
                <pt idx="0">
                  <v>34</v>
                </pt>
                <pt idx="1">
                  <v>29</v>
                </pt>
              </numCache>
            </numRef>
          </val>
        </ser>
        <ser>
          <idx val="4"/>
          <order val="4"/>
          <tx>
            <strRef>
              <f>'Скорость работы команды'!$B$8</f>
              <strCache>
                <ptCount val="1"/>
                <pt idx="0">
                  <v>Планируемое время выполенения задач на спринт</v>
                </pt>
              </strCache>
            </strRef>
          </tx>
          <spPr>
            <a:gradFill xmlns:a="http://schemas.openxmlformats.org/drawingml/2006/main">
              <a:gsLst>
                <a:gs pos="0">
                  <a:srgbClr val="cee6fe"/>
                </a:gs>
                <a:gs pos="50000">
                  <a:srgbClr val="bedeff"/>
                </a:gs>
                <a:gs pos="100000">
                  <a:srgbClr val="a6c6e7"/>
                </a:gs>
              </a:gsLst>
              <a:lin ang="5400000"/>
            </a:gradFill>
            <a:ln xmlns:a="http://schemas.openxmlformats.org/drawingml/2006/main" w="0">
              <a:noFill/>
              <a:prstDash val="solid"/>
            </a:ln>
          </spPr>
          <invertIfNegative val="0"/>
          <dLbls>
            <numFmt formatCode="General"/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900" b="0" strike="noStrike" spc="-1">
                    <a:solidFill>
                      <a:srgbClr val="44546a"/>
                    </a:solidFill>
                    <a:latin typeface="Calibri"/>
                  </a:defRPr>
                </a:pPr>
                <a:r>
                  <a:t/>
                </a:r>
              </a:p>
            </txPr>
            <dLblPos val="inEnd"/>
            <showLegendKey val="0"/>
            <showVal val="1"/>
            <showCatName val="0"/>
            <showSerName val="0"/>
            <showPercent val="0"/>
            <showLeaderLines val="0"/>
          </dLbls>
          <val>
            <numRef>
              <f>'Скорость работы команды'!$C$8:$J$8</f>
              <numCache>
                <formatCode>General</formatCode>
                <ptCount val="8"/>
                <pt idx="0">
                  <v>40</v>
                </pt>
                <pt idx="1">
                  <v>110</v>
                </pt>
              </numCache>
            </numRef>
          </val>
        </ser>
        <ser>
          <idx val="5"/>
          <order val="5"/>
          <tx>
            <strRef>
              <f>'Скорость работы команды'!$B$9</f>
              <strCache>
                <ptCount val="1"/>
                <pt idx="0">
                  <v>Затраченнон время на спринт</v>
                </pt>
              </strCache>
            </strRef>
          </tx>
          <spPr>
            <a:gradFill xmlns:a="http://schemas.openxmlformats.org/drawingml/2006/main">
              <a:gsLst>
                <a:gs pos="0">
                  <a:srgbClr val="9acbfd"/>
                </a:gs>
                <a:gs pos="50000">
                  <a:srgbClr val="84c2ff"/>
                </a:gs>
                <a:gs pos="100000">
                  <a:srgbClr val="6eadeb"/>
                </a:gs>
              </a:gsLst>
              <a:lin ang="5400000"/>
            </a:gradFill>
            <a:ln xmlns:a="http://schemas.openxmlformats.org/drawingml/2006/main" w="0">
              <a:noFill/>
              <a:prstDash val="solid"/>
            </a:ln>
          </spPr>
          <invertIfNegative val="0"/>
          <dLbls>
            <numFmt formatCode="General"/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900" b="0" strike="noStrike" spc="-1">
                    <a:solidFill>
                      <a:srgbClr val="44546a"/>
                    </a:solidFill>
                    <a:latin typeface="Calibri"/>
                  </a:defRPr>
                </a:pPr>
                <a:r>
                  <a:t/>
                </a:r>
              </a:p>
            </txPr>
            <dLblPos val="inEnd"/>
            <showLegendKey val="0"/>
            <showVal val="1"/>
            <showCatName val="0"/>
            <showSerName val="0"/>
            <showPercent val="0"/>
            <showLeaderLines val="0"/>
          </dLbls>
          <val>
            <numRef>
              <f>'Скорость работы команды'!$C$9:$J$9</f>
              <numCache>
                <formatCode>General</formatCode>
                <ptCount val="8"/>
                <pt idx="0">
                  <v>34.5</v>
                </pt>
                <pt idx="1">
                  <v>69.5</v>
                </pt>
              </numCache>
            </numRef>
          </val>
        </ser>
        <gapWidth val="100"/>
        <overlap val="-24"/>
        <axId val="92204225"/>
        <axId val="24736279"/>
      </barChart>
      <catAx>
        <axId val="92204225"/>
        <scaling>
          <orientation val="minMax"/>
        </scaling>
        <delete val="0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lang="ru-RU" sz="900" b="1" strike="noStrike" spc="-1">
                    <a:solidFill>
                      <a:srgbClr val="44546a"/>
                    </a:solidFill>
                    <a:latin typeface="Calibri"/>
                  </a:defRPr>
                </a:pPr>
                <a:r>
                  <a:rPr lang="ru-RU" sz="900" b="1" strike="noStrike" spc="-1">
                    <a:solidFill>
                      <a:srgbClr val="44546a"/>
                    </a:solidFill>
                    <a:latin typeface="Calibri"/>
                  </a:rPr>
                  <a:t>Номер спринта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e0e5eb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44546a"/>
                </a:solidFill>
                <a:latin typeface="Calibri"/>
              </a:defRPr>
            </a:pPr>
            <a:r>
              <a:t/>
            </a:r>
          </a:p>
        </txPr>
        <crossAx val="24736279"/>
        <crosses val="autoZero"/>
        <auto val="1"/>
        <lblAlgn val="ctr"/>
        <lblOffset val="100"/>
        <noMultiLvlLbl val="0"/>
      </catAx>
      <valAx>
        <axId val="24736279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e0e5eb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lang="ru-RU" sz="900" b="1" strike="noStrike" spc="-1">
                    <a:solidFill>
                      <a:srgbClr val="44546a"/>
                    </a:solidFill>
                    <a:latin typeface="Calibri"/>
                  </a:defRPr>
                </a:pPr>
                <a:r>
                  <a:rPr lang="ru-RU" sz="900" b="1" strike="noStrike" spc="-1">
                    <a:solidFill>
                      <a:srgbClr val="44546a"/>
                    </a:solidFill>
                    <a:latin typeface="Calibri"/>
                  </a:rPr>
                  <a:t>Количество story points задач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44546a"/>
                </a:solidFill>
                <a:latin typeface="Calibri"/>
              </a:defRPr>
            </a:pPr>
            <a:r>
              <a:t/>
            </a:r>
          </a:p>
        </txPr>
        <crossAx val="92204225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900" b="0" strike="noStrike" spc="-1">
              <a:solidFill>
                <a:srgbClr val="44546a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e0e5eb"/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Время по категориям задач (по задачам: проект и обучение)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rgbClr val="7aaddf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</a:p>
            </txPr>
            <dLblPos val="outEnd"/>
            <showLegendKey val="1"/>
            <showVal val="1"/>
            <showCatName val="1"/>
            <showSerName val="1"/>
            <showPercent val="0"/>
            <showLeaderLines val="1"/>
          </dLbls>
          <cat>
            <strRef>
              <f>Статистика!$A$4:$G$4</f>
              <strCache>
                <ptCount val="7"/>
                <pt idx="0">
                  <v>org</v>
                </pt>
                <pt idx="1">
                  <v>doc</v>
                </pt>
                <pt idx="2">
                  <v>study</v>
                </pt>
                <pt idx="3">
                  <v>BE</v>
                </pt>
                <pt idx="4">
                  <v>FE</v>
                </pt>
                <pt idx="5">
                  <v>tests</v>
                </pt>
                <pt idx="6">
                  <v>env</v>
                </pt>
              </strCache>
            </strRef>
          </cat>
          <val>
            <numRef>
              <f>Статистика!$A$5</f>
              <numCache>
                <formatCode>General</formatCode>
                <ptCount val="1"/>
                <pt idx="0">
                  <v>3</v>
                </pt>
              </numCache>
            </numRef>
          </val>
        </ser>
        <ser>
          <idx val="1"/>
          <order val="1"/>
          <spPr>
            <a:solidFill xmlns:a="http://schemas.openxmlformats.org/drawingml/2006/main">
              <a:srgbClr val="dfccbd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</a:p>
            </txPr>
            <dLblPos val="outEnd"/>
            <showLegendKey val="1"/>
            <showVal val="1"/>
            <showCatName val="1"/>
            <showSerName val="1"/>
            <showPercent val="0"/>
            <showLeaderLines val="1"/>
          </dLbls>
          <cat>
            <strRef>
              <f>Статистика!$A$4:$G$4</f>
              <strCache>
                <ptCount val="7"/>
                <pt idx="0">
                  <v>org</v>
                </pt>
                <pt idx="1">
                  <v>doc</v>
                </pt>
                <pt idx="2">
                  <v>study</v>
                </pt>
                <pt idx="3">
                  <v>BE</v>
                </pt>
                <pt idx="4">
                  <v>FE</v>
                </pt>
                <pt idx="5">
                  <v>tests</v>
                </pt>
                <pt idx="6">
                  <v>env</v>
                </pt>
              </strCache>
            </strRef>
          </cat>
          <val>
            <numRef>
              <f>Статистика!$B$5</f>
              <numCache>
                <formatCode>General</formatCode>
                <ptCount val="1"/>
                <pt idx="0">
                  <v>11.5</v>
                </pt>
              </numCache>
            </numRef>
          </val>
        </ser>
        <ser>
          <idx val="2"/>
          <order val="2"/>
          <spPr>
            <a:solidFill xmlns:a="http://schemas.openxmlformats.org/drawingml/2006/main">
              <a:srgbClr val="d36f2b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</a:p>
            </txPr>
            <dLblPos val="outEnd"/>
            <showLegendKey val="1"/>
            <showVal val="1"/>
            <showCatName val="1"/>
            <showSerName val="1"/>
            <showPercent val="0"/>
            <showLeaderLines val="1"/>
          </dLbls>
          <cat>
            <strRef>
              <f>Статистика!$A$4:$G$4</f>
              <strCache>
                <ptCount val="7"/>
                <pt idx="0">
                  <v>org</v>
                </pt>
                <pt idx="1">
                  <v>doc</v>
                </pt>
                <pt idx="2">
                  <v>study</v>
                </pt>
                <pt idx="3">
                  <v>BE</v>
                </pt>
                <pt idx="4">
                  <v>FE</v>
                </pt>
                <pt idx="5">
                  <v>tests</v>
                </pt>
                <pt idx="6">
                  <v>env</v>
                </pt>
              </strCache>
            </strRef>
          </cat>
          <val>
            <numRef>
              <f>Статистика!$C$5</f>
              <numCache>
                <formatCode>General</formatCode>
                <ptCount val="1"/>
                <pt idx="0">
                  <v>6</v>
                </pt>
              </numCache>
            </numRef>
          </val>
        </ser>
        <ser>
          <idx val="3"/>
          <order val="3"/>
          <spPr>
            <a:solidFill xmlns:a="http://schemas.openxmlformats.org/drawingml/2006/main">
              <a:srgbClr val="afc79f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</a:p>
            </txPr>
            <dLblPos val="outEnd"/>
            <showLegendKey val="1"/>
            <showVal val="1"/>
            <showCatName val="1"/>
            <showSerName val="1"/>
            <showPercent val="0"/>
            <showLeaderLines val="1"/>
          </dLbls>
          <cat>
            <strRef>
              <f>Статистика!$A$4:$G$4</f>
              <strCache>
                <ptCount val="7"/>
                <pt idx="0">
                  <v>org</v>
                </pt>
                <pt idx="1">
                  <v>doc</v>
                </pt>
                <pt idx="2">
                  <v>study</v>
                </pt>
                <pt idx="3">
                  <v>BE</v>
                </pt>
                <pt idx="4">
                  <v>FE</v>
                </pt>
                <pt idx="5">
                  <v>tests</v>
                </pt>
                <pt idx="6">
                  <v>env</v>
                </pt>
              </strCache>
            </strRef>
          </cat>
          <val>
            <numRef>
              <f>Статистика!$D$5</f>
              <numCache>
                <formatCode>General</formatCode>
                <ptCount val="1"/>
                <pt idx="0">
                  <v>49.5</v>
                </pt>
              </numCache>
            </numRef>
          </val>
        </ser>
        <ser>
          <idx val="4"/>
          <order val="4"/>
          <spPr>
            <a:solidFill xmlns:a="http://schemas.openxmlformats.org/drawingml/2006/main">
              <a:srgbClr val="639a3f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</a:p>
            </txPr>
            <dLblPos val="outEnd"/>
            <showLegendKey val="1"/>
            <showVal val="1"/>
            <showCatName val="1"/>
            <showSerName val="1"/>
            <showPercent val="0"/>
            <showLeaderLines val="1"/>
          </dLbls>
          <cat>
            <strRef>
              <f>Статистика!$A$4:$G$4</f>
              <strCache>
                <ptCount val="7"/>
                <pt idx="0">
                  <v>org</v>
                </pt>
                <pt idx="1">
                  <v>doc</v>
                </pt>
                <pt idx="2">
                  <v>study</v>
                </pt>
                <pt idx="3">
                  <v>BE</v>
                </pt>
                <pt idx="4">
                  <v>FE</v>
                </pt>
                <pt idx="5">
                  <v>tests</v>
                </pt>
                <pt idx="6">
                  <v>env</v>
                </pt>
              </strCache>
            </strRef>
          </cat>
          <val>
            <numRef>
              <f>Статистика!$E$5</f>
              <numCache>
                <formatCode>General</formatCode>
                <ptCount val="1"/>
                <pt idx="0">
                  <v>23</v>
                </pt>
              </numCache>
            </numRef>
          </val>
        </ser>
        <ser>
          <idx val="5"/>
          <order val="5"/>
          <spPr>
            <a:solidFill xmlns:a="http://schemas.openxmlformats.org/drawingml/2006/main">
              <a:srgbClr val="acc6e1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</a:p>
            </txPr>
            <dLblPos val="outEnd"/>
            <showLegendKey val="1"/>
            <showVal val="1"/>
            <showCatName val="1"/>
            <showSerName val="1"/>
            <showPercent val="0"/>
            <showLeaderLines val="1"/>
          </dLbls>
          <cat>
            <strRef>
              <f>Статистика!$A$4:$G$4</f>
              <strCache>
                <ptCount val="7"/>
                <pt idx="0">
                  <v>org</v>
                </pt>
                <pt idx="1">
                  <v>doc</v>
                </pt>
                <pt idx="2">
                  <v>study</v>
                </pt>
                <pt idx="3">
                  <v>BE</v>
                </pt>
                <pt idx="4">
                  <v>FE</v>
                </pt>
                <pt idx="5">
                  <v>tests</v>
                </pt>
                <pt idx="6">
                  <v>env</v>
                </pt>
              </strCache>
            </strRef>
          </cat>
          <val>
            <numRef>
              <f>Статистика!$F$5</f>
              <numCache>
                <formatCode>General</formatCode>
                <ptCount val="1"/>
                <pt idx="0">
                  <v>3</v>
                </pt>
              </numCache>
            </numRef>
          </val>
        </ser>
        <ser>
          <idx val="6"/>
          <order val="6"/>
          <spPr>
            <a:solidFill xmlns:a="http://schemas.openxmlformats.org/drawingml/2006/main">
              <a:srgbClr val="aed3fb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</a:p>
            </txPr>
            <dLblPos val="outEnd"/>
            <showLegendKey val="1"/>
            <showVal val="1"/>
            <showCatName val="1"/>
            <showSerName val="1"/>
            <showPercent val="0"/>
            <showLeaderLines val="1"/>
          </dLbls>
          <cat>
            <strRef>
              <f>Статистика!$A$4:$G$4</f>
              <strCache>
                <ptCount val="7"/>
                <pt idx="0">
                  <v>org</v>
                </pt>
                <pt idx="1">
                  <v>doc</v>
                </pt>
                <pt idx="2">
                  <v>study</v>
                </pt>
                <pt idx="3">
                  <v>BE</v>
                </pt>
                <pt idx="4">
                  <v>FE</v>
                </pt>
                <pt idx="5">
                  <v>tests</v>
                </pt>
                <pt idx="6">
                  <v>env</v>
                </pt>
              </strCache>
            </strRef>
          </cat>
          <val>
            <numRef>
              <f>Статистика!$G$5</f>
              <numCache>
                <formatCode>General</formatCode>
                <ptCount val="1"/>
                <pt idx="0">
                  <v>8</v>
                </pt>
              </numCache>
            </numRef>
          </val>
        </ser>
        <gapWidth val="150"/>
        <overlap val="0"/>
        <axId val="13618926"/>
        <axId val="83227401"/>
      </barChart>
      <catAx>
        <axId val="1361892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xmlns:a="http://schemas.openxmlformats.org/drawingml/2006/main" w="6480">
            <a:solidFill>
              <a:srgbClr val="8b8b8b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83227401"/>
        <crosses val="autoZero"/>
        <auto val="1"/>
        <lblAlgn val="ctr"/>
        <lblOffset val="100"/>
        <noMultiLvlLbl val="0"/>
      </catAx>
      <valAx>
        <axId val="83227401"/>
        <scaling>
          <orientation val="minMax"/>
        </scaling>
        <delete val="0"/>
        <axPos val="l"/>
        <majorGridlines>
          <spPr>
            <a:ln xmlns:a="http://schemas.openxmlformats.org/drawingml/2006/main" w="6480">
              <a:solidFill>
                <a:srgbClr val="8b8b8b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часы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ln xmlns:a="http://schemas.openxmlformats.org/drawingml/2006/main" w="6480">
            <a:solidFill>
              <a:srgbClr val="8b8b8b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13618926"/>
        <crosses val="autoZero"/>
        <crossBetween val="between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Вклад исполнителей в работу команды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pieChart>
        <varyColors val="1"/>
        <ser>
          <idx val="0"/>
          <order val="0"/>
          <spPr>
            <a:solidFill xmlns:a="http://schemas.openxmlformats.org/drawingml/2006/main">
              <a:srgbClr val="8ac3fb"/>
            </a:solidFill>
            <a:ln xmlns:a="http://schemas.openxmlformats.org/drawingml/2006/main" w="0">
              <a:noFill/>
              <a:prstDash val="solid"/>
            </a:ln>
          </spPr>
          <explosion val="0"/>
          <dPt>
            <idx val="0"/>
            <spPr>
              <a:solidFill xmlns:a="http://schemas.openxmlformats.org/drawingml/2006/main">
                <a:srgbClr val="8ac3fb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fbe5d5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ed7d31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c5e0b3"/>
              </a:solidFill>
              <a:ln xmlns:a="http://schemas.openxmlformats.org/drawingml/2006/main" w="0">
                <a:noFill/>
                <a:prstDash val="solid"/>
              </a:ln>
            </spPr>
          </dPt>
          <dLbls>
            <dLbl>
              <idx val="0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/>
                  </a:r>
                </a:p>
              </txPr>
              <dLblPos val="bestFit"/>
              <showLegendKey val="1"/>
              <showVal val="1"/>
              <showCatName val="1"/>
              <showSerName val="1"/>
              <showPercent val="1"/>
            </dLbl>
            <dLbl>
              <idx val="1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/>
                  </a:r>
                </a:p>
              </txPr>
              <dLblPos val="bestFit"/>
              <showLegendKey val="1"/>
              <showVal val="1"/>
              <showCatName val="1"/>
              <showSerName val="1"/>
              <showPercent val="1"/>
            </dLbl>
            <dLbl>
              <idx val="2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/>
                  </a:r>
                </a:p>
              </txPr>
              <dLblPos val="bestFit"/>
              <showLegendKey val="1"/>
              <showVal val="1"/>
              <showCatName val="1"/>
              <showSerName val="1"/>
              <showPercent val="1"/>
            </dLbl>
            <dLbl>
              <idx val="3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/>
                  </a:r>
                </a:p>
              </txPr>
              <dLblPos val="bestFit"/>
              <showLegendKey val="1"/>
              <showVal val="1"/>
              <showCatName val="1"/>
              <showSerName val="1"/>
              <showPercent val="1"/>
            </dLbl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</a:p>
            </txPr>
            <dLblPos val="bestFit"/>
            <showLegendKey val="1"/>
            <showVal val="1"/>
            <showCatName val="1"/>
            <showSerName val="1"/>
            <showPercent val="1"/>
            <showLeaderLines val="1"/>
          </dLbls>
          <cat>
            <strRef>
              <f>Статистика!$A$8:$D$8</f>
              <strCache>
                <ptCount val="4"/>
                <pt idx="0">
                  <v>Константин</v>
                </pt>
                <pt idx="1">
                  <v>Евгений</v>
                </pt>
                <pt idx="2">
                  <v>Тамара</v>
                </pt>
                <pt idx="3">
                  <v>Антон</v>
                </pt>
              </strCache>
            </strRef>
          </cat>
          <val>
            <numRef>
              <f>Статистика!$A$9:$D$9</f>
              <numCache>
                <formatCode>General</formatCode>
                <ptCount val="4"/>
                <pt idx="0">
                  <v>30.5</v>
                </pt>
                <pt idx="1">
                  <v>33</v>
                </pt>
                <pt idx="2">
                  <v>26</v>
                </pt>
                <pt idx="3">
                  <v>14.5</v>
                </pt>
              </numCache>
            </numRef>
          </val>
        </ser>
        <firstSliceAng val="0"/>
      </pieChart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Обучение и проект по спринтам, ч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Статистика!B12</f>
              <strCache>
                <ptCount val="1"/>
                <pt idx="0">
                  <v>Обучение (study)</v>
                </pt>
              </strCache>
            </strRef>
          </tx>
          <spPr>
            <a:solidFill xmlns:a="http://schemas.openxmlformats.org/drawingml/2006/main">
              <a:srgbClr val="8ac3fb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Статистика!$A$13:$A$15</f>
              <strCache>
                <ptCount val="2"/>
                <pt idx="0">
                  <v>Sprint 1</v>
                </pt>
                <pt idx="1">
                  <v>Sprint 2</v>
                </pt>
              </strCache>
            </strRef>
          </cat>
          <val>
            <numRef>
              <f>Статистика!$B$13:$B$15</f>
              <numCache>
                <formatCode>General</formatCode>
                <ptCount val="2"/>
                <pt idx="0">
                  <v>6</v>
                </pt>
                <pt idx="1">
                  <v>0</v>
                </pt>
              </numCache>
            </numRef>
          </val>
        </ser>
        <ser>
          <idx val="1"/>
          <order val="1"/>
          <tx>
            <strRef>
              <f>Статистика!C12</f>
              <strCache>
                <ptCount val="1"/>
                <pt idx="0">
                  <v>Проект</v>
                </pt>
              </strCache>
            </strRef>
          </tx>
          <spPr>
            <a:solidFill xmlns:a="http://schemas.openxmlformats.org/drawingml/2006/main">
              <a:srgbClr val="fbe5d5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Статистика!$A$13:$A$15</f>
              <strCache>
                <ptCount val="2"/>
                <pt idx="0">
                  <v>Sprint 1</v>
                </pt>
                <pt idx="1">
                  <v>Sprint 2</v>
                </pt>
              </strCache>
            </strRef>
          </cat>
          <val>
            <numRef>
              <f>Статистика!$C$13:$C$15</f>
              <numCache>
                <formatCode>General</formatCode>
                <ptCount val="2"/>
                <pt idx="0">
                  <v>28.5</v>
                </pt>
                <pt idx="1">
                  <v>69.5</v>
                </pt>
              </numCache>
            </numRef>
          </val>
        </ser>
        <gapWidth val="150"/>
        <overlap val="0"/>
        <axId val="75613630"/>
        <axId val="50087597"/>
      </barChart>
      <catAx>
        <axId val="7561363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xmlns:a="http://schemas.openxmlformats.org/drawingml/2006/main" w="6480">
            <a:solidFill>
              <a:srgbClr val="8b8b8b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50087597"/>
        <crosses val="autoZero"/>
        <auto val="1"/>
        <lblAlgn val="ctr"/>
        <lblOffset val="100"/>
        <noMultiLvlLbl val="0"/>
      </catAx>
      <valAx>
        <axId val="50087597"/>
        <scaling>
          <orientation val="minMax"/>
        </scaling>
        <delete val="0"/>
        <axPos val="l"/>
        <majorGridlines>
          <spPr>
            <a:ln xmlns:a="http://schemas.openxmlformats.org/drawingml/2006/main" w="6480">
              <a:solidFill>
                <a:srgbClr val="8b8b8b"/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ln xmlns:a="http://schemas.openxmlformats.org/drawingml/2006/main" w="6480">
            <a:solidFill>
              <a:srgbClr val="8b8b8b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75613630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План и факт времени по спринтам, ч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Статистика!B17</f>
              <strCache>
                <ptCount val="1"/>
                <pt idx="0">
                  <v>План</v>
                </pt>
              </strCache>
            </strRef>
          </tx>
          <spPr>
            <a:solidFill xmlns:a="http://schemas.openxmlformats.org/drawingml/2006/main">
              <a:srgbClr val="8ac3fb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Статистика!$A$18:$A$20</f>
              <strCache>
                <ptCount val="2"/>
                <pt idx="0">
                  <v>Sprint 1</v>
                </pt>
                <pt idx="1">
                  <v>Sprint 2</v>
                </pt>
              </strCache>
            </strRef>
          </cat>
          <val>
            <numRef>
              <f>Статистика!$B$18:$B$20</f>
              <numCache>
                <formatCode>General</formatCode>
                <ptCount val="2"/>
                <pt idx="0">
                  <v>40</v>
                </pt>
                <pt idx="1">
                  <v>110</v>
                </pt>
              </numCache>
            </numRef>
          </val>
        </ser>
        <ser>
          <idx val="1"/>
          <order val="1"/>
          <tx>
            <strRef>
              <f>Статистика!C17</f>
              <strCache>
                <ptCount val="1"/>
                <pt idx="0">
                  <v>Факт</v>
                </pt>
              </strCache>
            </strRef>
          </tx>
          <spPr>
            <a:solidFill xmlns:a="http://schemas.openxmlformats.org/drawingml/2006/main">
              <a:srgbClr val="fbe5d5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Статистика!$A$18:$A$20</f>
              <strCache>
                <ptCount val="2"/>
                <pt idx="0">
                  <v>Sprint 1</v>
                </pt>
                <pt idx="1">
                  <v>Sprint 2</v>
                </pt>
              </strCache>
            </strRef>
          </cat>
          <val>
            <numRef>
              <f>Статистика!$C$18:$C$20</f>
              <numCache>
                <formatCode>General</formatCode>
                <ptCount val="2"/>
                <pt idx="0">
                  <v>34.5</v>
                </pt>
                <pt idx="1">
                  <v>69.5</v>
                </pt>
              </numCache>
            </numRef>
          </val>
        </ser>
        <gapWidth val="150"/>
        <overlap val="0"/>
        <axId val="95166388"/>
        <axId val="53095080"/>
      </barChart>
      <catAx>
        <axId val="9516638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xmlns:a="http://schemas.openxmlformats.org/drawingml/2006/main" w="6480">
            <a:solidFill>
              <a:srgbClr val="8b8b8b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53095080"/>
        <crosses val="autoZero"/>
        <auto val="1"/>
        <lblAlgn val="ctr"/>
        <lblOffset val="100"/>
        <noMultiLvlLbl val="0"/>
      </catAx>
      <valAx>
        <axId val="53095080"/>
        <scaling>
          <orientation val="minMax"/>
        </scaling>
        <delete val="0"/>
        <axPos val="l"/>
        <majorGridlines>
          <spPr>
            <a:ln xmlns:a="http://schemas.openxmlformats.org/drawingml/2006/main" w="6480">
              <a:solidFill>
                <a:srgbClr val="8b8b8b"/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ln xmlns:a="http://schemas.openxmlformats.org/drawingml/2006/main" w="6480">
            <a:solidFill>
              <a:srgbClr val="8b8b8b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95166388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Relationship Type="http://schemas.openxmlformats.org/officeDocument/2006/relationships/chart" Target="/xl/charts/chart4.xml" Id="rId3"/><Relationship Type="http://schemas.openxmlformats.org/officeDocument/2006/relationships/chart" Target="/xl/charts/chart5.xml" Id="rId4"/></Relationships>
</file>

<file path=xl/drawings/drawing1.xml><?xml version="1.0" encoding="utf-8"?>
<wsDr xmlns="http://schemas.openxmlformats.org/drawingml/2006/spreadsheetDrawing">
  <twoCellAnchor editAs="oneCell">
    <from>
      <col>0</col>
      <colOff>45720</colOff>
      <row>9</row>
      <rowOff>163800</rowOff>
    </from>
    <to>
      <col>12</col>
      <colOff>243360</colOff>
      <row>33</row>
      <rowOff>113760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 editAs="oneCell">
    <from>
      <col>5</col>
      <colOff>0</colOff>
      <row>1</row>
      <rowOff>160560</rowOff>
    </from>
    <to>
      <col>11</col>
      <colOff>338040</colOff>
      <row>16</row>
      <rowOff>2520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5</col>
      <colOff>0</colOff>
      <row>17</row>
      <rowOff>160560</rowOff>
    </from>
    <to>
      <col>11</col>
      <colOff>338040</colOff>
      <row>32</row>
      <rowOff>2880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 editAs="oneCell">
    <from>
      <col>0</col>
      <colOff>0</colOff>
      <row>21</row>
      <rowOff>160920</rowOff>
    </from>
    <to>
      <col>4</col>
      <colOff>105840</colOff>
      <row>36</row>
      <rowOff>2880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 editAs="oneCell">
    <from>
      <col>0</col>
      <colOff>0</colOff>
      <row>37</row>
      <rowOff>160560</rowOff>
    </from>
    <to>
      <col>4</col>
      <colOff>105840</colOff>
      <row>52</row>
      <rowOff>2520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Другая 1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8ac3fb"/>
      </a:accent1>
      <a:accent2>
        <a:srgbClr val="fbe5d5"/>
      </a:accent2>
      <a:accent3>
        <a:srgbClr val="ed7d31"/>
      </a:accent3>
      <a:accent4>
        <a:srgbClr val="c5e0b3"/>
      </a:accent4>
      <a:accent5>
        <a:srgbClr val="70ad47"/>
      </a:accent5>
      <a:accent6>
        <a:srgbClr val="c2dffd"/>
      </a:accent6>
      <a:hlink>
        <a:srgbClr val="b5d9fd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K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P23" activeCellId="0" sqref="P23"/>
    </sheetView>
  </sheetViews>
  <sheetFormatPr baseColWidth="8" defaultColWidth="8.6796875" defaultRowHeight="14.25" zeroHeight="0" outlineLevelRow="0"/>
  <cols>
    <col width="10.88" customWidth="1" style="36" min="1" max="1"/>
    <col width="46.11" customWidth="1" style="36" min="2" max="2"/>
    <col width="5.21" customWidth="1" style="36" min="3" max="10"/>
    <col width="8.880000000000001" customWidth="1" style="36" min="11" max="11"/>
  </cols>
  <sheetData>
    <row r="1" ht="21" customHeight="1" s="37">
      <c r="B1" s="38" t="inlineStr">
        <is>
          <t>Скорость работы команды</t>
        </is>
      </c>
    </row>
    <row r="2" ht="14.25" customHeight="1" s="37">
      <c r="C2" s="39" t="inlineStr">
        <is>
          <t>ВНЕСИТЕ СВОИ ДАННЫЕ В ЯЧЕЙКИ C4:J9</t>
        </is>
      </c>
    </row>
    <row r="3" ht="14.25" customHeight="1" s="37">
      <c r="A3" s="40" t="n"/>
      <c r="B3" s="41" t="inlineStr">
        <is>
          <t>№ спринт</t>
        </is>
      </c>
      <c r="C3" s="41" t="n">
        <v>1</v>
      </c>
      <c r="D3" s="41" t="n">
        <v>2</v>
      </c>
      <c r="E3" s="41" t="n">
        <v>3</v>
      </c>
      <c r="F3" s="41" t="n">
        <v>4</v>
      </c>
      <c r="G3" s="41" t="n">
        <v>5</v>
      </c>
      <c r="H3" s="41" t="n">
        <v>6</v>
      </c>
      <c r="I3" s="41" t="n">
        <v>7</v>
      </c>
      <c r="J3" s="41" t="n">
        <v>8</v>
      </c>
      <c r="K3" s="41" t="inlineStr">
        <is>
          <t>Итого</t>
        </is>
      </c>
    </row>
    <row r="4" ht="14.25" customHeight="1" s="37">
      <c r="A4" s="42" t="inlineStr">
        <is>
          <t>Задачи</t>
        </is>
      </c>
      <c r="B4" s="43" t="inlineStr">
        <is>
          <t>Взято задач на спринт</t>
        </is>
      </c>
      <c r="C4" s="42" t="n">
        <v>12</v>
      </c>
      <c r="D4" s="42" t="n">
        <v>12</v>
      </c>
      <c r="E4" s="42" t="n">
        <v>6</v>
      </c>
      <c r="F4" s="44" t="n"/>
      <c r="G4" s="44" t="n"/>
      <c r="H4" s="44" t="n"/>
      <c r="I4" s="44" t="n"/>
      <c r="J4" s="44" t="n"/>
      <c r="K4" s="44">
        <f>SUM(C4:J4)</f>
        <v/>
      </c>
    </row>
    <row r="5" ht="14.25" customHeight="1" s="37">
      <c r="A5" s="42" t="n"/>
      <c r="B5" s="43" t="inlineStr">
        <is>
          <t>Выполнено задач</t>
        </is>
      </c>
      <c r="C5" s="42" t="n">
        <v>10</v>
      </c>
      <c r="D5" s="42" t="n">
        <v>7</v>
      </c>
      <c r="E5" s="42" t="n">
        <v>2</v>
      </c>
      <c r="F5" s="44" t="n"/>
      <c r="G5" s="44" t="n"/>
      <c r="H5" s="44" t="n"/>
      <c r="I5" s="44" t="n"/>
      <c r="J5" s="44" t="n"/>
      <c r="K5" s="44">
        <f>SUM(C5:J5)</f>
        <v/>
      </c>
    </row>
    <row r="6" ht="14.25" customHeight="1" s="37">
      <c r="A6" s="45" t="inlineStr">
        <is>
          <t>Story points</t>
        </is>
      </c>
      <c r="B6" s="46" t="inlineStr">
        <is>
          <t>Взято SP на спринт</t>
        </is>
      </c>
      <c r="C6" s="45" t="n">
        <v>42</v>
      </c>
      <c r="D6" s="45" t="n">
        <v>55</v>
      </c>
      <c r="E6" s="45" t="n">
        <v>28</v>
      </c>
      <c r="F6" s="47" t="n"/>
      <c r="G6" s="47" t="n"/>
      <c r="H6" s="47" t="n"/>
      <c r="I6" s="47" t="n"/>
      <c r="J6" s="47" t="n"/>
      <c r="K6" s="47">
        <f>SUM(C6:J6)</f>
        <v/>
      </c>
    </row>
    <row r="7" ht="14.25" customHeight="1" s="37">
      <c r="A7" s="45" t="n"/>
      <c r="B7" s="46" t="inlineStr">
        <is>
          <t>Выполнено SP</t>
        </is>
      </c>
      <c r="C7" s="45" t="n">
        <v>34</v>
      </c>
      <c r="D7" s="45" t="n">
        <v>29</v>
      </c>
      <c r="E7" s="45" t="n">
        <v>5</v>
      </c>
      <c r="F7" s="47" t="n"/>
      <c r="G7" s="47" t="n"/>
      <c r="H7" s="47" t="n"/>
      <c r="I7" s="47" t="n"/>
      <c r="J7" s="47" t="n"/>
      <c r="K7" s="47">
        <f>SUM(C7:J7)</f>
        <v/>
      </c>
    </row>
    <row r="8" ht="14.25" customHeight="1" s="37">
      <c r="A8" s="48" t="inlineStr">
        <is>
          <t>Время</t>
        </is>
      </c>
      <c r="B8" s="49" t="inlineStr">
        <is>
          <t>Планируемое время выполенения задач на спринт</t>
        </is>
      </c>
      <c r="C8" s="48" t="n">
        <v>40</v>
      </c>
      <c r="D8" s="48" t="n">
        <v>110</v>
      </c>
      <c r="E8" s="48" t="n">
        <v>31</v>
      </c>
      <c r="F8" s="50" t="n"/>
      <c r="G8" s="50" t="n"/>
      <c r="H8" s="50" t="n"/>
      <c r="I8" s="50" t="n"/>
      <c r="J8" s="50" t="n"/>
      <c r="K8" s="50">
        <f>SUM(C8:J8)</f>
        <v/>
      </c>
    </row>
    <row r="9" ht="14.25" customHeight="1" s="37">
      <c r="A9" s="51" t="inlineStr">
        <is>
          <t>(часов)</t>
        </is>
      </c>
      <c r="B9" s="49" t="inlineStr">
        <is>
          <t>Затраченнон время на спринт</t>
        </is>
      </c>
      <c r="C9" s="48" t="n">
        <v>34.5</v>
      </c>
      <c r="D9" s="48" t="n">
        <v>69.5</v>
      </c>
      <c r="E9" s="48" t="n">
        <v>13.75</v>
      </c>
      <c r="F9" s="50" t="n"/>
      <c r="G9" s="50" t="n"/>
      <c r="H9" s="50" t="n"/>
      <c r="I9" s="50" t="n"/>
      <c r="J9" s="50" t="n"/>
      <c r="K9" s="50">
        <f>SUM(C9:J9)</f>
        <v/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S7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D14" activeCellId="0" sqref="D14"/>
    </sheetView>
  </sheetViews>
  <sheetFormatPr baseColWidth="8" defaultColWidth="8.6796875" defaultRowHeight="14.25" zeroHeight="0" outlineLevelRow="0"/>
  <cols>
    <col width="10.88" customWidth="1" style="36" min="1" max="2"/>
    <col width="23.78" customWidth="1" style="36" min="3" max="3"/>
    <col width="18.67" customWidth="1" style="36" min="4" max="4"/>
    <col width="19.21" customWidth="1" style="36" min="5" max="5"/>
    <col width="15.66" customWidth="1" style="36" min="6" max="6"/>
    <col width="17.56" customWidth="1" style="36" min="7" max="7"/>
    <col width="5.21" customWidth="1" style="36" min="8" max="9"/>
    <col width="8.880000000000001" customWidth="1" style="36" min="10" max="10"/>
    <col width="14.11" customWidth="1" style="36" min="14" max="14"/>
    <col width="14.1" customWidth="1" style="36" min="15" max="15"/>
  </cols>
  <sheetData>
    <row r="1" ht="21" customHeight="1" s="37">
      <c r="A1" s="52" t="inlineStr">
        <is>
          <t>Время работы команды в рамках спринтов</t>
        </is>
      </c>
      <c r="B1" s="52" t="n"/>
      <c r="P1" s="39" t="inlineStr">
        <is>
          <t>Категории задач</t>
        </is>
      </c>
    </row>
    <row r="2" ht="14.25" customHeight="1" s="37">
      <c r="A2" s="53" t="inlineStr">
        <is>
          <t>Выделяйте 2 разными цветами задачи четных и нечетных спринтов</t>
        </is>
      </c>
      <c r="P2" s="54" t="inlineStr">
        <is>
          <t>doc- задача по разработке документации,</t>
        </is>
      </c>
    </row>
    <row r="3" ht="14.25" customHeight="1" s="37">
      <c r="F3" s="55" t="inlineStr">
        <is>
          <t>Время</t>
        </is>
      </c>
      <c r="G3" s="56" t="n"/>
      <c r="J3" s="57" t="inlineStr">
        <is>
          <t>Исполнитель</t>
        </is>
      </c>
      <c r="K3" s="57" t="inlineStr">
        <is>
          <t>Константин</t>
        </is>
      </c>
      <c r="L3" s="57" t="inlineStr">
        <is>
          <t>Евгений</t>
        </is>
      </c>
      <c r="M3" s="57" t="inlineStr">
        <is>
          <t>Тамара</t>
        </is>
      </c>
      <c r="N3" s="57" t="inlineStr">
        <is>
          <t>Антон</t>
        </is>
      </c>
      <c r="O3" s="57" t="n"/>
      <c r="P3" s="54" t="inlineStr">
        <is>
          <t>study- задача по изучению материала, чтобы в дальнейшем применить при разработке проекта,</t>
        </is>
      </c>
    </row>
    <row r="4" ht="14.25" customHeight="1" s="37">
      <c r="A4" s="41" t="inlineStr">
        <is>
          <t>№ спринта</t>
        </is>
      </c>
      <c r="B4" s="41" t="inlineStr">
        <is>
          <t>№задачи</t>
        </is>
      </c>
      <c r="C4" s="41" t="inlineStr">
        <is>
          <t>Название задачи</t>
        </is>
      </c>
      <c r="D4" s="41" t="inlineStr">
        <is>
          <t>Категория задачи</t>
        </is>
      </c>
      <c r="E4" s="41" t="inlineStr">
        <is>
          <t>Исполнитель</t>
        </is>
      </c>
      <c r="F4" s="41" t="inlineStr">
        <is>
          <t>Планируемое</t>
        </is>
      </c>
      <c r="G4" s="41" t="inlineStr">
        <is>
          <t>Реальное</t>
        </is>
      </c>
      <c r="J4" s="57" t="inlineStr">
        <is>
          <t>Sprint 1</t>
        </is>
      </c>
      <c r="K4" s="40">
        <f>SUMIFS($G$5:$G$200,$E$5:$E$200,K$3,$A$5:$A$200,VALUE(RIGHT($J4,1)))</f>
        <v/>
      </c>
      <c r="L4" s="40">
        <f>SUMIFS($G$5:$G$200,$E$5:$E$200,L$3,$A$5:$A$200,VALUE(RIGHT($J4,1)))</f>
        <v/>
      </c>
      <c r="M4" s="40">
        <f>SUMIFS($G$5:$G$200,$E$5:$E$200,M$3,$A$5:$A$200,VALUE(RIGHT($J4,1)))</f>
        <v/>
      </c>
      <c r="N4" s="40">
        <f>SUMIFS($G$5:$G$200,$E$5:$E$200,N$3,$A$5:$A$200,VALUE(RIGHT($J4,1)))</f>
        <v/>
      </c>
      <c r="O4" s="40">
        <f>SUM(K4:N4)</f>
        <v/>
      </c>
      <c r="P4" s="54" t="inlineStr">
        <is>
          <t>BE - задача связанная с back end, сюда же входят и задачи по проектирования БД,</t>
        </is>
      </c>
    </row>
    <row r="5" ht="14.25" customHeight="1" s="37">
      <c r="A5" s="58" t="n">
        <v>1</v>
      </c>
      <c r="B5" s="58" t="n">
        <v>1</v>
      </c>
      <c r="C5" s="58" t="inlineStr">
        <is>
          <t>SCRUM-1: Обсуждение примерного дизайна</t>
        </is>
      </c>
      <c r="D5" s="58" t="inlineStr">
        <is>
          <t>org</t>
        </is>
      </c>
      <c r="E5" s="58" t="inlineStr">
        <is>
          <t>Константин</t>
        </is>
      </c>
      <c r="F5" s="58" t="n">
        <v>1</v>
      </c>
      <c r="G5" s="58" t="n">
        <v>1</v>
      </c>
      <c r="H5" s="59">
        <f>SUM(G5:G34)</f>
        <v/>
      </c>
      <c r="J5" s="57" t="inlineStr">
        <is>
          <t>Sprint 2</t>
        </is>
      </c>
      <c r="K5" s="40">
        <f>SUMIFS($G$5:$G$200,$E$5:$E$200,K$3,$A$5:$A$200,VALUE(RIGHT($J5,1)))</f>
        <v/>
      </c>
      <c r="L5" s="40">
        <f>SUMIFS($G$5:$G$200,$E$5:$E$200,L$3,$A$5:$A$200,VALUE(RIGHT($J5,1)))</f>
        <v/>
      </c>
      <c r="M5" s="40">
        <f>SUMIFS($G$5:$G$200,$E$5:$E$200,M$3,$A$5:$A$200,VALUE(RIGHT($J5,1)))</f>
        <v/>
      </c>
      <c r="N5" s="40">
        <f>SUMIFS($G$5:$G$200,$E$5:$E$200,N$3,$A$5:$A$200,VALUE(RIGHT($J5,1)))</f>
        <v/>
      </c>
      <c r="O5" s="40">
        <f>SUM(K5:N5)</f>
        <v/>
      </c>
      <c r="P5" s="54" t="inlineStr">
        <is>
          <t>UI - задача по разработке user interface, например создание динамического прототипа в Figma,</t>
        </is>
      </c>
    </row>
    <row r="6" ht="14.25" customHeight="1" s="37">
      <c r="A6" s="58" t="n">
        <v>1</v>
      </c>
      <c r="B6" s="58" t="n">
        <v>2</v>
      </c>
      <c r="C6" s="58" t="inlineStr">
        <is>
          <t>SCRUM-2: Обговор деталей и предполагаемой работы</t>
        </is>
      </c>
      <c r="D6" s="58" t="inlineStr">
        <is>
          <t>org</t>
        </is>
      </c>
      <c r="E6" s="58" t="inlineStr">
        <is>
          <t>Константин</t>
        </is>
      </c>
      <c r="F6" s="58" t="n">
        <v>2</v>
      </c>
      <c r="G6" s="58" t="n">
        <v>2</v>
      </c>
      <c r="J6" s="57" t="inlineStr">
        <is>
          <t>Sprint 3</t>
        </is>
      </c>
      <c r="K6" s="40">
        <f>SUMIFS($G$5:$G$200,$E$5:$E$200,K$3,$A$5:$A$200,VALUE(RIGHT($J6,1)))</f>
        <v/>
      </c>
      <c r="L6" s="40">
        <f>SUMIFS($G$5:$G$200,$E$5:$E$200,L$3,$A$5:$A$200,VALUE(RIGHT($J6,1)))</f>
        <v/>
      </c>
      <c r="M6" s="40">
        <f>SUMIFS($G$5:$G$200,$E$5:$E$200,M$3,$A$5:$A$200,VALUE(RIGHT($J6,1)))</f>
        <v/>
      </c>
      <c r="N6" s="40">
        <f>SUMIFS($G$5:$G$200,$E$5:$E$200,N$3,$A$5:$A$200,VALUE(RIGHT($J6,1)))</f>
        <v/>
      </c>
      <c r="O6" s="40">
        <f>SUM(K6:N6)</f>
        <v/>
      </c>
      <c r="P6" s="54" t="inlineStr">
        <is>
          <t>FE - front end задача,</t>
        </is>
      </c>
    </row>
    <row r="7" ht="14.25" customHeight="1" s="37">
      <c r="A7" s="58" t="n">
        <v>1</v>
      </c>
      <c r="B7" s="58" t="n">
        <v>3</v>
      </c>
      <c r="C7" s="58" t="inlineStr">
        <is>
          <t>Создание Jira-доски, репозитория GitHub, Gitflow</t>
        </is>
      </c>
      <c r="D7" s="58" t="inlineStr">
        <is>
          <t>env</t>
        </is>
      </c>
      <c r="E7" s="58" t="inlineStr">
        <is>
          <t>Константин</t>
        </is>
      </c>
      <c r="F7" s="58" t="n">
        <v>3</v>
      </c>
      <c r="G7" s="58" t="n">
        <v>3</v>
      </c>
      <c r="J7" s="57" t="inlineStr">
        <is>
          <t>Sprint 4</t>
        </is>
      </c>
      <c r="K7" s="40">
        <f>SUMIFS($G$5:$G$200,$E$5:$E$200,K$3,$A$5:$A$200,VALUE(RIGHT($J7,1)))</f>
        <v/>
      </c>
      <c r="L7" s="40">
        <f>SUMIFS($G$5:$G$200,$E$5:$E$200,L$3,$A$5:$A$200,VALUE(RIGHT($J7,1)))</f>
        <v/>
      </c>
      <c r="M7" s="40">
        <f>SUMIFS($G$5:$G$200,$E$5:$E$200,M$3,$A$5:$A$200,VALUE(RIGHT($J7,1)))</f>
        <v/>
      </c>
      <c r="N7" s="40">
        <f>SUMIFS($G$5:$G$200,$E$5:$E$200,N$3,$A$5:$A$200,VALUE(RIGHT($J7,1)))</f>
        <v/>
      </c>
      <c r="O7" s="40">
        <f>SUM(K7:N7)</f>
        <v/>
      </c>
      <c r="P7" s="54" t="inlineStr">
        <is>
          <t>tests- задача по тестированию (разработка модульных тестов, тестирование функциональности проекта),</t>
        </is>
      </c>
    </row>
    <row r="8" ht="14.25" customHeight="1" s="37">
      <c r="A8" s="58" t="n">
        <v>1</v>
      </c>
      <c r="B8" s="58" t="n">
        <v>4</v>
      </c>
      <c r="C8" s="58" t="inlineStr">
        <is>
          <t>Docker Compose и CI (Ruff + Pytest)</t>
        </is>
      </c>
      <c r="D8" s="58" t="inlineStr">
        <is>
          <t>env</t>
        </is>
      </c>
      <c r="E8" s="58" t="inlineStr">
        <is>
          <t>Константин</t>
        </is>
      </c>
      <c r="F8" s="58" t="n">
        <v>5</v>
      </c>
      <c r="G8" s="58" t="n">
        <v>5</v>
      </c>
      <c r="J8" s="57" t="inlineStr">
        <is>
          <t>Sprint 5</t>
        </is>
      </c>
      <c r="K8" s="40">
        <f>SUMIFS($G$5:$G$200,$E$5:$E$200,K$3,$A$5:$A$200,VALUE(RIGHT($J8,1)))</f>
        <v/>
      </c>
      <c r="L8" s="40">
        <f>SUMIFS($G$5:$G$200,$E$5:$E$200,L$3,$A$5:$A$200,VALUE(RIGHT($J8,1)))</f>
        <v/>
      </c>
      <c r="M8" s="40">
        <f>SUMIFS($G$5:$G$200,$E$5:$E$200,M$3,$A$5:$A$200,VALUE(RIGHT($J8,1)))</f>
        <v/>
      </c>
      <c r="N8" s="40">
        <f>SUMIFS($G$5:$G$200,$E$5:$E$200,N$3,$A$5:$A$200,VALUE(RIGHT($J8,1)))</f>
        <v/>
      </c>
      <c r="O8" s="40">
        <f>SUM(K8:N8)</f>
        <v/>
      </c>
      <c r="P8" s="54" t="inlineStr">
        <is>
          <t>env - задача по подготовке окружения (environment), создание доски, репозитория, установка ПО, а также DevOps задачи по обеспечению эффективной и безопасной работы систем, автоматизация процессов развертывания инфраструктуры, приложений и резервное копирование и т.д.,</t>
        </is>
      </c>
    </row>
    <row r="9" ht="14.25" customHeight="1" s="37">
      <c r="A9" s="58" t="n">
        <v>1</v>
      </c>
      <c r="B9" s="58" t="n">
        <v>5</v>
      </c>
      <c r="C9" s="58" t="inlineStr">
        <is>
          <t>SCRUM-9: Устав проекта</t>
        </is>
      </c>
      <c r="D9" s="58" t="inlineStr">
        <is>
          <t>doc</t>
        </is>
      </c>
      <c r="E9" s="58" t="inlineStr">
        <is>
          <t>Антон</t>
        </is>
      </c>
      <c r="F9" s="58" t="n">
        <v>3</v>
      </c>
      <c r="G9" s="58" t="n">
        <v>3</v>
      </c>
      <c r="H9" s="60" t="n"/>
      <c r="I9" s="39" t="n"/>
      <c r="J9" s="57" t="inlineStr">
        <is>
          <t>Sprint 6</t>
        </is>
      </c>
      <c r="K9" s="40">
        <f>SUMIFS($G$5:$G$200,$E$5:$E$200,K$3,$A$5:$A$200,VALUE(RIGHT($J9,1)))</f>
        <v/>
      </c>
      <c r="L9" s="40">
        <f>SUMIFS($G$5:$G$200,$E$5:$E$200,L$3,$A$5:$A$200,VALUE(RIGHT($J9,1)))</f>
        <v/>
      </c>
      <c r="M9" s="40">
        <f>SUMIFS($G$5:$G$200,$E$5:$E$200,M$3,$A$5:$A$200,VALUE(RIGHT($J9,1)))</f>
        <v/>
      </c>
      <c r="N9" s="40">
        <f>SUMIFS($G$5:$G$200,$E$5:$E$200,N$3,$A$5:$A$200,VALUE(RIGHT($J9,1)))</f>
        <v/>
      </c>
      <c r="O9" s="40">
        <f>SUM(K9:N9)</f>
        <v/>
      </c>
      <c r="P9" s="54" t="inlineStr">
        <is>
          <t>org - задача организационная, например, проведение meetings, написание отчетов Sprint Review и др.</t>
        </is>
      </c>
    </row>
    <row r="10" ht="14.25" customHeight="1" s="37">
      <c r="A10" s="58" t="n">
        <v>1</v>
      </c>
      <c r="B10" s="58" t="n">
        <v>6</v>
      </c>
      <c r="C10" s="58" t="inlineStr">
        <is>
          <t>Изучение FastAPI и SQLAlchemy 2.0</t>
        </is>
      </c>
      <c r="D10" s="58" t="inlineStr">
        <is>
          <t>study</t>
        </is>
      </c>
      <c r="E10" s="58" t="inlineStr">
        <is>
          <t>Евгений</t>
        </is>
      </c>
      <c r="F10" s="58" t="n">
        <v>3</v>
      </c>
      <c r="G10" s="58" t="n">
        <v>3</v>
      </c>
      <c r="J10" s="57" t="inlineStr">
        <is>
          <t>Sprint 7</t>
        </is>
      </c>
      <c r="K10" s="40">
        <f>SUMIFS($G$5:$G$200,$E$5:$E$200,K$3,$A$5:$A$200,VALUE(RIGHT($J10,1)))</f>
        <v/>
      </c>
      <c r="L10" s="40">
        <f>SUMIFS($G$5:$G$200,$E$5:$E$200,L$3,$A$5:$A$200,VALUE(RIGHT($J10,1)))</f>
        <v/>
      </c>
      <c r="M10" s="40">
        <f>SUMIFS($G$5:$G$200,$E$5:$E$200,M$3,$A$5:$A$200,VALUE(RIGHT($J10,1)))</f>
        <v/>
      </c>
      <c r="N10" s="40">
        <f>SUMIFS($G$5:$G$200,$E$5:$E$200,N$3,$A$5:$A$200,VALUE(RIGHT($J10,1)))</f>
        <v/>
      </c>
      <c r="O10" s="40">
        <f>SUM(K10:N10)</f>
        <v/>
      </c>
    </row>
    <row r="11" ht="14.25" customHeight="1" s="37">
      <c r="A11" s="58" t="n">
        <v>1</v>
      </c>
      <c r="B11" s="58" t="n">
        <v>7</v>
      </c>
      <c r="C11" s="58" t="inlineStr">
        <is>
          <t>SCRUM-8: Проектирование БД PostgreSQL</t>
        </is>
      </c>
      <c r="D11" s="58" t="inlineStr">
        <is>
          <t>BE</t>
        </is>
      </c>
      <c r="E11" s="58" t="inlineStr">
        <is>
          <t>Евгений</t>
        </is>
      </c>
      <c r="F11" s="58" t="n">
        <v>5</v>
      </c>
      <c r="G11" s="58" t="n">
        <v>5</v>
      </c>
      <c r="J11" s="57" t="inlineStr">
        <is>
          <t>Sprint 8</t>
        </is>
      </c>
      <c r="K11" s="61">
        <f>SUMIFS($G$5:$G$200,$E$5:$E$200,K$3,$A$5:$A$200,VALUE(RIGHT($J11,1)))</f>
        <v/>
      </c>
      <c r="L11" s="40">
        <f>SUMIFS($G$5:$G$200,$E$5:$E$200,L$3,$A$5:$A$200,VALUE(RIGHT($J11,1)))</f>
        <v/>
      </c>
      <c r="M11" s="40">
        <f>SUMIFS($G$5:$G$200,$E$5:$E$200,M$3,$A$5:$A$200,VALUE(RIGHT($J11,1)))</f>
        <v/>
      </c>
      <c r="N11" s="40">
        <f>SUMIFS($G$5:$G$200,$E$5:$E$200,N$3,$A$5:$A$200,VALUE(RIGHT($J11,1)))</f>
        <v/>
      </c>
      <c r="O11" s="40">
        <f>SUM(K11:N11)</f>
        <v/>
      </c>
      <c r="P11" s="39" t="inlineStr">
        <is>
          <t>На основании данных выполнить стат анализ (данные представить с виде графиков также)</t>
        </is>
      </c>
    </row>
    <row r="12" ht="14.25" customHeight="1" s="37">
      <c r="A12" s="58" t="n">
        <v>1</v>
      </c>
      <c r="B12" s="58" t="n">
        <v>8</v>
      </c>
      <c r="C12" s="58" t="inlineStr">
        <is>
          <t>Изучение React, TypeScript, Vite</t>
        </is>
      </c>
      <c r="D12" s="58" t="inlineStr">
        <is>
          <t>study</t>
        </is>
      </c>
      <c r="E12" s="58" t="inlineStr">
        <is>
          <t>Тамара</t>
        </is>
      </c>
      <c r="F12" s="58" t="n">
        <v>3</v>
      </c>
      <c r="G12" s="58" t="n">
        <v>3</v>
      </c>
      <c r="J12" s="62" t="inlineStr">
        <is>
          <t>Итого</t>
        </is>
      </c>
      <c r="K12" s="63">
        <f>SUM(K4:K11)</f>
        <v/>
      </c>
      <c r="L12" s="63">
        <f>SUM(L4:L11)</f>
        <v/>
      </c>
      <c r="M12" s="63">
        <f>SUM(M4:M11)</f>
        <v/>
      </c>
      <c r="N12" s="63">
        <f>SUM(N4:N11)</f>
        <v/>
      </c>
      <c r="O12" s="62">
        <f>SUM(K12:N12)</f>
        <v/>
      </c>
      <c r="P12" s="36" t="inlineStr">
        <is>
          <t>по задачам (время на обучение - время на проект)</t>
        </is>
      </c>
    </row>
    <row r="13" ht="14.25" customHeight="1" s="37">
      <c r="A13" s="58" t="n">
        <v>1</v>
      </c>
      <c r="B13" s="58" t="n">
        <v>9</v>
      </c>
      <c r="C13" s="58" t="inlineStr">
        <is>
          <t>Каркас SPA, Navbar, react-router</t>
        </is>
      </c>
      <c r="D13" s="58" t="inlineStr">
        <is>
          <t>FE</t>
        </is>
      </c>
      <c r="E13" s="58" t="inlineStr">
        <is>
          <t>Тамара</t>
        </is>
      </c>
      <c r="F13" s="58" t="n">
        <v>5</v>
      </c>
      <c r="G13" s="58" t="n">
        <v>4.5</v>
      </c>
      <c r="P13" s="36" t="inlineStr">
        <is>
          <t>по исполнителям - вклад в работу команды</t>
        </is>
      </c>
    </row>
    <row r="14" ht="14.25" customHeight="1" s="37">
      <c r="A14" s="58" t="n">
        <v>1</v>
      </c>
      <c r="B14" s="58" t="n">
        <v>10</v>
      </c>
      <c r="C14" s="58" t="inlineStr">
        <is>
          <t>Черновик seed_data.json</t>
        </is>
      </c>
      <c r="D14" s="58" t="inlineStr">
        <is>
          <t>doc</t>
        </is>
      </c>
      <c r="E14" s="58" t="inlineStr">
        <is>
          <t>Антон</t>
        </is>
      </c>
      <c r="F14" s="58" t="n">
        <v>4</v>
      </c>
      <c r="G14" s="58" t="n">
        <v>3.5</v>
      </c>
      <c r="P14" s="36" t="inlineStr">
        <is>
          <t>по категориям - документация, проектирование, кодирование, дизайн, тестирование и др.</t>
        </is>
      </c>
    </row>
    <row r="15" ht="14.25" customHeight="1" s="37">
      <c r="A15" s="58" t="n">
        <v>1</v>
      </c>
      <c r="B15" s="58" t="n">
        <v>11</v>
      </c>
      <c r="C15" s="58" t="inlineStr">
        <is>
          <t>SCRUM-12: API церковной лавки (не завершено)</t>
        </is>
      </c>
      <c r="D15" s="58" t="inlineStr">
        <is>
          <t>BE</t>
        </is>
      </c>
      <c r="E15" s="58" t="inlineStr">
        <is>
          <t>Евгений</t>
        </is>
      </c>
      <c r="F15" s="58" t="n">
        <v>4</v>
      </c>
      <c r="G15" s="58" t="n">
        <v>1</v>
      </c>
      <c r="J15" s="64" t="inlineStr">
        <is>
          <t>КОМАНДА</t>
        </is>
      </c>
    </row>
    <row r="16" ht="14.25" customHeight="1" s="37">
      <c r="A16" s="58" t="n">
        <v>1</v>
      </c>
      <c r="B16" s="58" t="n">
        <v>12</v>
      </c>
      <c r="C16" s="58" t="inlineStr">
        <is>
          <t>SCRUM-11: UI каталога лавки (не завершено)</t>
        </is>
      </c>
      <c r="D16" s="58" t="inlineStr">
        <is>
          <t>FE</t>
        </is>
      </c>
      <c r="E16" s="58" t="inlineStr">
        <is>
          <t>Тамара</t>
        </is>
      </c>
      <c r="F16" s="58" t="n">
        <v>2</v>
      </c>
      <c r="G16" s="58" t="n">
        <v>0.5</v>
      </c>
      <c r="J16" s="57" t="inlineStr">
        <is>
          <t>Категории</t>
        </is>
      </c>
      <c r="K16" s="57" t="inlineStr">
        <is>
          <t>org</t>
        </is>
      </c>
      <c r="L16" s="57" t="inlineStr">
        <is>
          <t>doc</t>
        </is>
      </c>
      <c r="M16" s="57" t="inlineStr">
        <is>
          <t>study</t>
        </is>
      </c>
      <c r="N16" s="57" t="inlineStr">
        <is>
          <t>BE</t>
        </is>
      </c>
      <c r="O16" s="57" t="inlineStr">
        <is>
          <t>FE</t>
        </is>
      </c>
      <c r="P16" s="57" t="inlineStr">
        <is>
          <t>tests</t>
        </is>
      </c>
      <c r="Q16" s="57" t="inlineStr">
        <is>
          <t>env</t>
        </is>
      </c>
      <c r="R16" s="57" t="inlineStr">
        <is>
          <t>Суммарно</t>
        </is>
      </c>
      <c r="S16" s="65" t="inlineStr">
        <is>
          <t>%study/project</t>
        </is>
      </c>
    </row>
    <row r="17" ht="14.25" customHeight="1" s="37">
      <c r="A17" s="66" t="n">
        <v>2</v>
      </c>
      <c r="B17" s="66" t="n">
        <v>1</v>
      </c>
      <c r="C17" s="66" t="inlineStr">
        <is>
          <t>SCRUM-3: Спецификация лавки и треб + seed_data.json</t>
        </is>
      </c>
      <c r="D17" s="66" t="inlineStr">
        <is>
          <t>doc</t>
        </is>
      </c>
      <c r="E17" s="66" t="inlineStr">
        <is>
          <t>Антон</t>
        </is>
      </c>
      <c r="F17" s="66" t="n">
        <v>6</v>
      </c>
      <c r="G17" s="66" t="n">
        <v>5</v>
      </c>
      <c r="J17" s="57" t="inlineStr">
        <is>
          <t>Sprint 1</t>
        </is>
      </c>
      <c r="K17" s="40">
        <f>SUMIFS($G$5:$G$200,$D$5:$D$200,K$16,$A$5:$A$200,VALUE(RIGHT($J17,1)))</f>
        <v/>
      </c>
      <c r="L17" s="40">
        <f>SUMIFS($G$5:$G$200,$D$5:$D$200,L$16,$A$5:$A$200,VALUE(RIGHT($J17,1)))</f>
        <v/>
      </c>
      <c r="M17" s="40">
        <f>SUMIFS($G$5:$G$200,$D$5:$D$200,M$16,$A$5:$A$200,VALUE(RIGHT($J17,1)))</f>
        <v/>
      </c>
      <c r="N17" s="40">
        <f>SUMIFS($G$5:$G$200,$D$5:$D$200,N$16,$A$5:$A$200,VALUE(RIGHT($J17,1)))</f>
        <v/>
      </c>
      <c r="O17" s="40">
        <f>SUMIFS($G$5:$G$200,$D$5:$D$200,O$16,$A$5:$A$200,VALUE(RIGHT($J17,1)))</f>
        <v/>
      </c>
      <c r="P17" s="40">
        <f>SUMIFS($G$5:$G$200,$D$5:$D$200,P$16,$A$5:$A$200,VALUE(RIGHT($J17,1)))</f>
        <v/>
      </c>
      <c r="Q17" s="40">
        <f>SUMIFS($G$5:$G$200,$D$5:$D$200,Q$16,$A$5:$A$200,VALUE(RIGHT($J17,1)))</f>
        <v/>
      </c>
      <c r="R17" s="40">
        <f>SUM(K17:Q17)</f>
        <v/>
      </c>
      <c r="S17" s="67">
        <f>IF(R17=0,0,M17/R17)</f>
        <v/>
      </c>
    </row>
    <row r="18" ht="14.25" customHeight="1" s="37">
      <c r="A18" s="66" t="n">
        <v>2</v>
      </c>
      <c r="B18" s="66" t="n">
        <v>2</v>
      </c>
      <c r="C18" s="66" t="inlineStr">
        <is>
          <t>SCRUM-10: Регистрация и авторизация (JWT, роли)</t>
        </is>
      </c>
      <c r="D18" s="66" t="inlineStr">
        <is>
          <t>BE</t>
        </is>
      </c>
      <c r="E18" s="66" t="inlineStr">
        <is>
          <t>Евгений</t>
        </is>
      </c>
      <c r="F18" s="66" t="n">
        <v>14</v>
      </c>
      <c r="G18" s="66" t="n">
        <v>0</v>
      </c>
      <c r="J18" s="57" t="inlineStr">
        <is>
          <t>Sprint 2</t>
        </is>
      </c>
      <c r="K18" s="40">
        <f>SUMIFS($G$5:$G$200,$D$5:$D$200,K$16,$A$5:$A$200,VALUE(RIGHT($J18,1)))</f>
        <v/>
      </c>
      <c r="L18" s="40">
        <f>SUMIFS($G$5:$G$200,$D$5:$D$200,L$16,$A$5:$A$200,VALUE(RIGHT($J18,1)))</f>
        <v/>
      </c>
      <c r="M18" s="40">
        <f>SUMIFS($G$5:$G$200,$D$5:$D$200,M$16,$A$5:$A$200,VALUE(RIGHT($J18,1)))</f>
        <v/>
      </c>
      <c r="N18" s="40">
        <f>SUMIFS($G$5:$G$200,$D$5:$D$200,N$16,$A$5:$A$200,VALUE(RIGHT($J18,1)))</f>
        <v/>
      </c>
      <c r="O18" s="40">
        <f>SUMIFS($G$5:$G$200,$D$5:$D$200,O$16,$A$5:$A$200,VALUE(RIGHT($J18,1)))</f>
        <v/>
      </c>
      <c r="P18" s="40">
        <f>SUMIFS($G$5:$G$200,$D$5:$D$200,P$16,$A$5:$A$200,VALUE(RIGHT($J18,1)))</f>
        <v/>
      </c>
      <c r="Q18" s="40">
        <f>SUMIFS($G$5:$G$200,$D$5:$D$200,Q$16,$A$5:$A$200,VALUE(RIGHT($J18,1)))</f>
        <v/>
      </c>
      <c r="R18" s="40">
        <f>SUM(K18:Q18)</f>
        <v/>
      </c>
      <c r="S18" s="67">
        <f>IF(R18=0,0,M18/R18)</f>
        <v/>
      </c>
    </row>
    <row r="19" ht="14.25" customHeight="1" s="37">
      <c r="A19" s="66" t="n">
        <v>2</v>
      </c>
      <c r="B19" s="66" t="n">
        <v>3</v>
      </c>
      <c r="C19" s="66" t="inlineStr">
        <is>
          <t>SCRUM-11: UI каталога церковной лавки</t>
        </is>
      </c>
      <c r="D19" s="66" t="inlineStr">
        <is>
          <t>FE</t>
        </is>
      </c>
      <c r="E19" s="66" t="inlineStr">
        <is>
          <t>Тамара</t>
        </is>
      </c>
      <c r="F19" s="66" t="n">
        <v>6</v>
      </c>
      <c r="G19" s="66" t="n">
        <v>7</v>
      </c>
      <c r="J19" s="57" t="inlineStr">
        <is>
          <t>Sprint 3</t>
        </is>
      </c>
      <c r="K19" s="40">
        <f>SUMIFS($G$5:$G$200,$D$5:$D$200,K$16,$A$5:$A$200,VALUE(RIGHT($J19,1)))</f>
        <v/>
      </c>
      <c r="L19" s="40">
        <f>SUMIFS($G$5:$G$200,$D$5:$D$200,L$16,$A$5:$A$200,VALUE(RIGHT($J19,1)))</f>
        <v/>
      </c>
      <c r="M19" s="40">
        <f>SUMIFS($G$5:$G$200,$D$5:$D$200,M$16,$A$5:$A$200,VALUE(RIGHT($J19,1)))</f>
        <v/>
      </c>
      <c r="N19" s="40">
        <f>SUMIFS($G$5:$G$200,$D$5:$D$200,N$16,$A$5:$A$200,VALUE(RIGHT($J19,1)))</f>
        <v/>
      </c>
      <c r="O19" s="40">
        <f>SUMIFS($G$5:$G$200,$D$5:$D$200,O$16,$A$5:$A$200,VALUE(RIGHT($J19,1)))</f>
        <v/>
      </c>
      <c r="P19" s="40">
        <f>SUMIFS($G$5:$G$200,$D$5:$D$200,P$16,$A$5:$A$200,VALUE(RIGHT($J19,1)))</f>
        <v/>
      </c>
      <c r="Q19" s="40">
        <f>SUMIFS($G$5:$G$200,$D$5:$D$200,Q$16,$A$5:$A$200,VALUE(RIGHT($J19,1)))</f>
        <v/>
      </c>
      <c r="R19" s="40">
        <f>SUM(K19:Q19)</f>
        <v/>
      </c>
      <c r="S19" s="67">
        <f>IF(R19=0,0,M19/R19)</f>
        <v/>
      </c>
    </row>
    <row r="20" ht="14.25" customHeight="1" s="37">
      <c r="A20" s="66" t="n">
        <v>2</v>
      </c>
      <c r="B20" s="66" t="n">
        <v>4</v>
      </c>
      <c r="C20" s="66" t="inlineStr">
        <is>
          <t>SCRUM-12: API лавки GET /api/v1/items</t>
        </is>
      </c>
      <c r="D20" s="66" t="inlineStr">
        <is>
          <t>BE</t>
        </is>
      </c>
      <c r="E20" s="66" t="inlineStr">
        <is>
          <t>Евгений</t>
        </is>
      </c>
      <c r="F20" s="66" t="n">
        <v>10</v>
      </c>
      <c r="G20" s="66" t="n">
        <v>9</v>
      </c>
      <c r="J20" s="57" t="inlineStr">
        <is>
          <t>Sprint 4</t>
        </is>
      </c>
      <c r="K20" s="40">
        <f>SUMIFS($G$5:$G$200,$D$5:$D$200,K$16,$A$5:$A$200,VALUE(RIGHT($J20,1)))</f>
        <v/>
      </c>
      <c r="L20" s="40">
        <f>SUMIFS($G$5:$G$200,$D$5:$D$200,L$16,$A$5:$A$200,VALUE(RIGHT($J20,1)))</f>
        <v/>
      </c>
      <c r="M20" s="40">
        <f>SUMIFS($G$5:$G$200,$D$5:$D$200,M$16,$A$5:$A$200,VALUE(RIGHT($J20,1)))</f>
        <v/>
      </c>
      <c r="N20" s="40">
        <f>SUMIFS($G$5:$G$200,$D$5:$D$200,N$16,$A$5:$A$200,VALUE(RIGHT($J20,1)))</f>
        <v/>
      </c>
      <c r="O20" s="40">
        <f>SUMIFS($G$5:$G$200,$D$5:$D$200,O$16,$A$5:$A$200,VALUE(RIGHT($J20,1)))</f>
        <v/>
      </c>
      <c r="P20" s="40">
        <f>SUMIFS($G$5:$G$200,$D$5:$D$200,P$16,$A$5:$A$200,VALUE(RIGHT($J20,1)))</f>
        <v/>
      </c>
      <c r="Q20" s="40">
        <f>SUMIFS($G$5:$G$200,$D$5:$D$200,Q$16,$A$5:$A$200,VALUE(RIGHT($J20,1)))</f>
        <v/>
      </c>
      <c r="R20" s="40">
        <f>SUM(K20:Q20)</f>
        <v/>
      </c>
      <c r="S20" s="67">
        <f>IF(R20=0,0,M20/R20)</f>
        <v/>
      </c>
    </row>
    <row r="21" ht="14.25" customHeight="1" s="37">
      <c r="A21" s="66" t="n">
        <v>2</v>
      </c>
      <c r="B21" s="66" t="n">
        <v>5</v>
      </c>
      <c r="C21" s="66" t="inlineStr">
        <is>
          <t>SCRUM-13: Модуль пожертвований (блоки Minecraft)</t>
        </is>
      </c>
      <c r="D21" s="66" t="inlineStr">
        <is>
          <t>BE</t>
        </is>
      </c>
      <c r="E21" s="66" t="inlineStr">
        <is>
          <t>Евгений</t>
        </is>
      </c>
      <c r="F21" s="66" t="n">
        <v>6</v>
      </c>
      <c r="G21" s="66" t="n">
        <v>6.5</v>
      </c>
      <c r="J21" s="57" t="inlineStr">
        <is>
          <t>Sprint 5</t>
        </is>
      </c>
      <c r="K21" s="40">
        <f>SUMIFS($G$5:$G$200,$D$5:$D$200,K$16,$A$5:$A$200,VALUE(RIGHT($J21,1)))</f>
        <v/>
      </c>
      <c r="L21" s="40">
        <f>SUMIFS($G$5:$G$200,$D$5:$D$200,L$16,$A$5:$A$200,VALUE(RIGHT($J21,1)))</f>
        <v/>
      </c>
      <c r="M21" s="40">
        <f>SUMIFS($G$5:$G$200,$D$5:$D$200,M$16,$A$5:$A$200,VALUE(RIGHT($J21,1)))</f>
        <v/>
      </c>
      <c r="N21" s="40">
        <f>SUMIFS($G$5:$G$200,$D$5:$D$200,N$16,$A$5:$A$200,VALUE(RIGHT($J21,1)))</f>
        <v/>
      </c>
      <c r="O21" s="40">
        <f>SUMIFS($G$5:$G$200,$D$5:$D$200,O$16,$A$5:$A$200,VALUE(RIGHT($J21,1)))</f>
        <v/>
      </c>
      <c r="P21" s="40">
        <f>SUMIFS($G$5:$G$200,$D$5:$D$200,P$16,$A$5:$A$200,VALUE(RIGHT($J21,1)))</f>
        <v/>
      </c>
      <c r="Q21" s="40">
        <f>SUMIFS($G$5:$G$200,$D$5:$D$200,Q$16,$A$5:$A$200,VALUE(RIGHT($J21,1)))</f>
        <v/>
      </c>
      <c r="R21" s="40">
        <f>SUM(K21:Q21)</f>
        <v/>
      </c>
      <c r="S21" s="67">
        <f>IF(R21=0,0,M21/R21)</f>
        <v/>
      </c>
    </row>
    <row r="22" ht="14.25" customHeight="1" s="37">
      <c r="A22" s="66" t="n">
        <v>2</v>
      </c>
      <c r="B22" s="66" t="n">
        <v>6</v>
      </c>
      <c r="C22" s="66" t="inlineStr">
        <is>
          <t>SCRUM-14: Форма подачи записок (до 15 имён)</t>
        </is>
      </c>
      <c r="D22" s="66" t="inlineStr">
        <is>
          <t>FE</t>
        </is>
      </c>
      <c r="E22" s="66" t="inlineStr">
        <is>
          <t>Тамара</t>
        </is>
      </c>
      <c r="F22" s="66" t="n">
        <v>10</v>
      </c>
      <c r="G22" s="66" t="n">
        <v>11</v>
      </c>
      <c r="J22" s="57" t="inlineStr">
        <is>
          <t>Sprint 6</t>
        </is>
      </c>
      <c r="K22" s="40">
        <f>SUMIFS($G$5:$G$200,$D$5:$D$200,K$16,$A$5:$A$200,VALUE(RIGHT($J22,1)))</f>
        <v/>
      </c>
      <c r="L22" s="40">
        <f>SUMIFS($G$5:$G$200,$D$5:$D$200,L$16,$A$5:$A$200,VALUE(RIGHT($J22,1)))</f>
        <v/>
      </c>
      <c r="M22" s="40">
        <f>SUMIFS($G$5:$G$200,$D$5:$D$200,M$16,$A$5:$A$200,VALUE(RIGHT($J22,1)))</f>
        <v/>
      </c>
      <c r="N22" s="40">
        <f>SUMIFS($G$5:$G$200,$D$5:$D$200,N$16,$A$5:$A$200,VALUE(RIGHT($J22,1)))</f>
        <v/>
      </c>
      <c r="O22" s="40">
        <f>SUMIFS($G$5:$G$200,$D$5:$D$200,O$16,$A$5:$A$200,VALUE(RIGHT($J22,1)))</f>
        <v/>
      </c>
      <c r="P22" s="40">
        <f>SUMIFS($G$5:$G$200,$D$5:$D$200,P$16,$A$5:$A$200,VALUE(RIGHT($J22,1)))</f>
        <v/>
      </c>
      <c r="Q22" s="40">
        <f>SUMIFS($G$5:$G$200,$D$5:$D$200,Q$16,$A$5:$A$200,VALUE(RIGHT($J22,1)))</f>
        <v/>
      </c>
      <c r="R22" s="40">
        <f>SUM(K22:Q22)</f>
        <v/>
      </c>
      <c r="S22" s="67">
        <f>IF(R22=0,0,M22/R22)</f>
        <v/>
      </c>
    </row>
    <row r="23" ht="14.25" customHeight="1" s="37">
      <c r="A23" s="66" t="n">
        <v>2</v>
      </c>
      <c r="B23" s="66" t="n">
        <v>7</v>
      </c>
      <c r="C23" s="66" t="inlineStr">
        <is>
          <t>SCRUM-15: Прокси ИИ-консультаций (DeepSeek)</t>
        </is>
      </c>
      <c r="D23" s="66" t="inlineStr">
        <is>
          <t>BE</t>
        </is>
      </c>
      <c r="E23" s="66" t="inlineStr">
        <is>
          <t>Константин</t>
        </is>
      </c>
      <c r="F23" s="66" t="n">
        <v>16</v>
      </c>
      <c r="G23" s="66" t="n">
        <v>9</v>
      </c>
      <c r="J23" s="57" t="inlineStr">
        <is>
          <t>Sprint 7</t>
        </is>
      </c>
      <c r="K23" s="40">
        <f>SUMIFS($G$5:$G$200,$D$5:$D$200,K$16,$A$5:$A$200,VALUE(RIGHT($J23,1)))</f>
        <v/>
      </c>
      <c r="L23" s="40">
        <f>SUMIFS($G$5:$G$200,$D$5:$D$200,L$16,$A$5:$A$200,VALUE(RIGHT($J23,1)))</f>
        <v/>
      </c>
      <c r="M23" s="40">
        <f>SUMIFS($G$5:$G$200,$D$5:$D$200,M$16,$A$5:$A$200,VALUE(RIGHT($J23,1)))</f>
        <v/>
      </c>
      <c r="N23" s="40">
        <f>SUMIFS($G$5:$G$200,$D$5:$D$200,N$16,$A$5:$A$200,VALUE(RIGHT($J23,1)))</f>
        <v/>
      </c>
      <c r="O23" s="40">
        <f>SUMIFS($G$5:$G$200,$D$5:$D$200,O$16,$A$5:$A$200,VALUE(RIGHT($J23,1)))</f>
        <v/>
      </c>
      <c r="P23" s="40">
        <f>SUMIFS($G$5:$G$200,$D$5:$D$200,P$16,$A$5:$A$200,VALUE(RIGHT($J23,1)))</f>
        <v/>
      </c>
      <c r="Q23" s="40">
        <f>SUMIFS($G$5:$G$200,$D$5:$D$200,Q$16,$A$5:$A$200,VALUE(RIGHT($J23,1)))</f>
        <v/>
      </c>
      <c r="R23" s="40">
        <f>SUM(K23:Q23)</f>
        <v/>
      </c>
      <c r="S23" s="67">
        <f>IF(R23=0,0,M23/R23)</f>
        <v/>
      </c>
    </row>
    <row r="24" ht="14.25" customHeight="1" s="37">
      <c r="A24" s="66" t="n">
        <v>2</v>
      </c>
      <c r="B24" s="66" t="n">
        <v>8</v>
      </c>
      <c r="C24" s="66" t="inlineStr">
        <is>
          <t>SCRUM-16: ETL Airflow и витрины DWH</t>
        </is>
      </c>
      <c r="D24" s="66" t="inlineStr">
        <is>
          <t>BE</t>
        </is>
      </c>
      <c r="E24" s="66" t="inlineStr">
        <is>
          <t>Константин</t>
        </is>
      </c>
      <c r="F24" s="66" t="n">
        <v>10</v>
      </c>
      <c r="G24" s="66" t="n">
        <v>10.5</v>
      </c>
      <c r="J24" s="57" t="inlineStr">
        <is>
          <t>Sprint 8</t>
        </is>
      </c>
      <c r="K24" s="40">
        <f>SUMIFS($G$5:$G$200,$D$5:$D$200,K$16,$A$5:$A$200,VALUE(RIGHT($J24,1)))</f>
        <v/>
      </c>
      <c r="L24" s="61">
        <f>SUMIFS($G$5:$G$200,$D$5:$D$200,L$16,$A$5:$A$200,VALUE(RIGHT($J24,1)))</f>
        <v/>
      </c>
      <c r="M24" s="40">
        <f>SUMIFS($G$5:$G$200,$D$5:$D$200,M$16,$A$5:$A$200,VALUE(RIGHT($J24,1)))</f>
        <v/>
      </c>
      <c r="N24" s="40">
        <f>SUMIFS($G$5:$G$200,$D$5:$D$200,N$16,$A$5:$A$200,VALUE(RIGHT($J24,1)))</f>
        <v/>
      </c>
      <c r="O24" s="40">
        <f>SUMIFS($G$5:$G$200,$D$5:$D$200,O$16,$A$5:$A$200,VALUE(RIGHT($J24,1)))</f>
        <v/>
      </c>
      <c r="P24" s="40">
        <f>SUMIFS($G$5:$G$200,$D$5:$D$200,P$16,$A$5:$A$200,VALUE(RIGHT($J24,1)))</f>
        <v/>
      </c>
      <c r="Q24" s="40">
        <f>SUMIFS($G$5:$G$200,$D$5:$D$200,Q$16,$A$5:$A$200,VALUE(RIGHT($J24,1)))</f>
        <v/>
      </c>
      <c r="R24" s="40">
        <f>SUM(K24:Q24)</f>
        <v/>
      </c>
      <c r="S24" s="67">
        <f>IF(R24=0,0,M24/R24)</f>
        <v/>
      </c>
    </row>
    <row r="25" ht="14.25" customHeight="1" s="37">
      <c r="A25" s="66" t="n">
        <v>2</v>
      </c>
      <c r="B25" s="66" t="n">
        <v>9</v>
      </c>
      <c r="C25" s="66" t="inlineStr">
        <is>
          <t>SCRUM-18: Эндпоинт POST /api/v1/treby</t>
        </is>
      </c>
      <c r="D25" s="66" t="inlineStr">
        <is>
          <t>BE</t>
        </is>
      </c>
      <c r="E25" s="66" t="inlineStr">
        <is>
          <t>Евгений</t>
        </is>
      </c>
      <c r="F25" s="66" t="n">
        <v>10</v>
      </c>
      <c r="G25" s="66" t="n">
        <v>8.5</v>
      </c>
      <c r="J25" s="62" t="inlineStr">
        <is>
          <t>Итого</t>
        </is>
      </c>
      <c r="K25" s="63">
        <f>SUM(K17:K24)</f>
        <v/>
      </c>
      <c r="L25" s="63">
        <f>SUM(L17:L24)</f>
        <v/>
      </c>
      <c r="M25" s="63">
        <f>SUM(M17:M24)</f>
        <v/>
      </c>
      <c r="N25" s="63">
        <f>SUM(N17:N24)</f>
        <v/>
      </c>
      <c r="O25" s="63">
        <f>SUM(O17:O24)</f>
        <v/>
      </c>
      <c r="P25" s="63">
        <f>SUM(P17:P24)</f>
        <v/>
      </c>
      <c r="Q25" s="63">
        <f>SUM(Q17:Q24)</f>
        <v/>
      </c>
      <c r="R25" s="62">
        <f>SUM(K25:Q25)</f>
        <v/>
      </c>
      <c r="S25" s="67">
        <f>IF(R25=0,0,M25/R25)</f>
        <v/>
      </c>
    </row>
    <row r="26" ht="14.25" customHeight="1" s="37">
      <c r="A26" s="66" t="n">
        <v>2</v>
      </c>
      <c r="B26" s="66" t="n">
        <v>10</v>
      </c>
      <c r="C26" s="66" t="inlineStr">
        <is>
          <t>SCRUM-19: Тест-кейсы валидатора Pydantic</t>
        </is>
      </c>
      <c r="D26" s="66" t="inlineStr">
        <is>
          <t>tests</t>
        </is>
      </c>
      <c r="E26" s="66" t="inlineStr">
        <is>
          <t>Антон</t>
        </is>
      </c>
      <c r="F26" s="66" t="n">
        <v>6</v>
      </c>
      <c r="G26" s="66" t="n">
        <v>3</v>
      </c>
    </row>
    <row r="27" ht="14.25" customHeight="1" s="37">
      <c r="A27" s="66" t="n">
        <v>2</v>
      </c>
      <c r="B27" s="66" t="n">
        <v>11</v>
      </c>
      <c r="C27" s="66" t="inlineStr">
        <is>
          <t>SCRUM-20: Личный кабинет прихожанина (UI)</t>
        </is>
      </c>
      <c r="D27" s="66" t="inlineStr">
        <is>
          <t>FE</t>
        </is>
      </c>
      <c r="E27" s="66" t="inlineStr">
        <is>
          <t>Тамара</t>
        </is>
      </c>
      <c r="F27" s="66" t="n">
        <v>10</v>
      </c>
      <c r="G27" s="66" t="n">
        <v>0</v>
      </c>
    </row>
    <row r="28" ht="14.25" customHeight="1" s="37">
      <c r="A28" s="66" t="n">
        <v>2</v>
      </c>
      <c r="B28" s="66" t="n">
        <v>12</v>
      </c>
      <c r="C28" s="66" t="inlineStr">
        <is>
          <t>SCRUM-26: Ручное тестирование и README</t>
        </is>
      </c>
      <c r="D28" s="66" t="inlineStr">
        <is>
          <t>tests</t>
        </is>
      </c>
      <c r="E28" s="66" t="inlineStr">
        <is>
          <t>Антон</t>
        </is>
      </c>
      <c r="F28" s="66" t="n">
        <v>6</v>
      </c>
      <c r="G28" s="66" t="n">
        <v>0</v>
      </c>
      <c r="J28" s="68" t="inlineStr">
        <is>
          <t>Константин</t>
        </is>
      </c>
    </row>
    <row r="29" ht="14.25" customHeight="1" s="37">
      <c r="A29" s="58" t="n">
        <v>3</v>
      </c>
      <c r="B29" s="58" t="n">
        <v>1</v>
      </c>
      <c r="C29" s="58" t="inlineStr">
        <is>
          <t>SCRUM-10: Регистрация и авторизация (JWT, роли)</t>
        </is>
      </c>
      <c r="D29" s="58" t="inlineStr">
        <is>
          <t>BE</t>
        </is>
      </c>
      <c r="E29" s="58" t="inlineStr">
        <is>
          <t>Евгений</t>
        </is>
      </c>
      <c r="F29" s="58" t="n">
        <v>10</v>
      </c>
      <c r="G29" s="58" t="n">
        <v>4</v>
      </c>
      <c r="J29" s="57" t="inlineStr">
        <is>
          <t>Категории</t>
        </is>
      </c>
      <c r="K29" s="57" t="inlineStr">
        <is>
          <t>org</t>
        </is>
      </c>
      <c r="L29" s="57" t="inlineStr">
        <is>
          <t>doc</t>
        </is>
      </c>
      <c r="M29" s="57" t="inlineStr">
        <is>
          <t>study</t>
        </is>
      </c>
      <c r="N29" s="57" t="inlineStr">
        <is>
          <t>BE</t>
        </is>
      </c>
      <c r="O29" s="57" t="inlineStr">
        <is>
          <t>FE</t>
        </is>
      </c>
      <c r="P29" s="57" t="inlineStr">
        <is>
          <t>tests</t>
        </is>
      </c>
      <c r="Q29" s="57" t="inlineStr">
        <is>
          <t>env</t>
        </is>
      </c>
      <c r="R29" s="57" t="inlineStr">
        <is>
          <t>Суммарно</t>
        </is>
      </c>
      <c r="S29" s="65" t="inlineStr">
        <is>
          <t>%study/project</t>
        </is>
      </c>
    </row>
    <row r="30" ht="14.25" customHeight="1" s="37">
      <c r="A30" s="58" t="n">
        <v>3</v>
      </c>
      <c r="B30" s="58" t="n">
        <v>2</v>
      </c>
      <c r="C30" s="58" t="inlineStr">
        <is>
          <t>SCRUM-15: Прокси ИИ-консультаций (DeepSeek), остаток</t>
        </is>
      </c>
      <c r="D30" s="58" t="inlineStr">
        <is>
          <t>BE</t>
        </is>
      </c>
      <c r="E30" s="58" t="inlineStr">
        <is>
          <t>Константин</t>
        </is>
      </c>
      <c r="F30" s="58" t="n">
        <v>7</v>
      </c>
      <c r="G30" s="58" t="n">
        <v>3.5</v>
      </c>
      <c r="J30" s="57" t="inlineStr">
        <is>
          <t>Sprint 1</t>
        </is>
      </c>
      <c r="K30" s="40">
        <f>SUMIFS($G$5:$G$200,$E$5:$E$200,$J$28,$D$5:$D$200,K$29,$A$5:$A$200,VALUE(RIGHT($J30,1)))</f>
        <v/>
      </c>
      <c r="L30" s="40">
        <f>SUMIFS($G$5:$G$200,$E$5:$E$200,$J$28,$D$5:$D$200,L$29,$A$5:$A$200,VALUE(RIGHT($J30,1)))</f>
        <v/>
      </c>
      <c r="M30" s="40">
        <f>SUMIFS($G$5:$G$200,$E$5:$E$200,$J$28,$D$5:$D$200,M$29,$A$5:$A$200,VALUE(RIGHT($J30,1)))</f>
        <v/>
      </c>
      <c r="N30" s="40">
        <f>SUMIFS($G$5:$G$200,$E$5:$E$200,$J$28,$D$5:$D$200,N$29,$A$5:$A$200,VALUE(RIGHT($J30,1)))</f>
        <v/>
      </c>
      <c r="O30" s="40">
        <f>SUMIFS($G$5:$G$200,$E$5:$E$200,$J$28,$D$5:$D$200,O$29,$A$5:$A$200,VALUE(RIGHT($J30,1)))</f>
        <v/>
      </c>
      <c r="P30" s="40">
        <f>SUMIFS($G$5:$G$200,$E$5:$E$200,$J$28,$D$5:$D$200,P$29,$A$5:$A$200,VALUE(RIGHT($J30,1)))</f>
        <v/>
      </c>
      <c r="Q30" s="40">
        <f>SUMIFS($G$5:$G$200,$E$5:$E$200,$J$28,$D$5:$D$200,Q$29,$A$5:$A$200,VALUE(RIGHT($J30,1)))</f>
        <v/>
      </c>
      <c r="R30" s="40">
        <f>SUM(K30:Q30)</f>
        <v/>
      </c>
      <c r="S30" s="67">
        <f>IF(R30=0,0,M30/R30)</f>
        <v/>
      </c>
    </row>
    <row r="31" ht="14.25" customHeight="1" s="37">
      <c r="A31" s="58" t="n">
        <v>3</v>
      </c>
      <c r="B31" s="58" t="n">
        <v>3</v>
      </c>
      <c r="C31" s="58" t="inlineStr">
        <is>
          <t>SCRUM-20: Личный кабинет прихожанина (UI)</t>
        </is>
      </c>
      <c r="D31" s="58" t="inlineStr">
        <is>
          <t>FE</t>
        </is>
      </c>
      <c r="E31" s="58" t="inlineStr">
        <is>
          <t>Тамара</t>
        </is>
      </c>
      <c r="F31" s="58" t="n">
        <v>8</v>
      </c>
      <c r="G31" s="58" t="n">
        <v>3</v>
      </c>
      <c r="J31" s="57" t="inlineStr">
        <is>
          <t>Sprint 2</t>
        </is>
      </c>
      <c r="K31" s="40">
        <f>SUMIFS($G$5:$G$200,$E$5:$E$200,$J$28,$D$5:$D$200,K$29,$A$5:$A$200,VALUE(RIGHT($J31,1)))</f>
        <v/>
      </c>
      <c r="L31" s="40">
        <f>SUMIFS($G$5:$G$200,$E$5:$E$200,$J$28,$D$5:$D$200,L$29,$A$5:$A$200,VALUE(RIGHT($J31,1)))</f>
        <v/>
      </c>
      <c r="M31" s="40">
        <f>SUMIFS($G$5:$G$200,$E$5:$E$200,$J$28,$D$5:$D$200,M$29,$A$5:$A$200,VALUE(RIGHT($J31,1)))</f>
        <v/>
      </c>
      <c r="N31" s="40">
        <f>SUMIFS($G$5:$G$200,$E$5:$E$200,$J$28,$D$5:$D$200,N$29,$A$5:$A$200,VALUE(RIGHT($J31,1)))</f>
        <v/>
      </c>
      <c r="O31" s="40">
        <f>SUMIFS($G$5:$G$200,$E$5:$E$200,$J$28,$D$5:$D$200,O$29,$A$5:$A$200,VALUE(RIGHT($J31,1)))</f>
        <v/>
      </c>
      <c r="P31" s="40">
        <f>SUMIFS($G$5:$G$200,$E$5:$E$200,$J$28,$D$5:$D$200,P$29,$A$5:$A$200,VALUE(RIGHT($J31,1)))</f>
        <v/>
      </c>
      <c r="Q31" s="40">
        <f>SUMIFS($G$5:$G$200,$E$5:$E$200,$J$28,$D$5:$D$200,Q$29,$A$5:$A$200,VALUE(RIGHT($J31,1)))</f>
        <v/>
      </c>
      <c r="R31" s="40">
        <f>SUM(K31:Q31)</f>
        <v/>
      </c>
      <c r="S31" s="67">
        <f>IF(R31=0,0,M31/R31)</f>
        <v/>
      </c>
    </row>
    <row r="32" ht="14.25" customHeight="1" s="37">
      <c r="A32" s="58" t="n">
        <v>3</v>
      </c>
      <c r="B32" s="58" t="n">
        <v>4</v>
      </c>
      <c r="C32" s="58" t="inlineStr">
        <is>
          <t>SCRUM-19: Тест-кейсы валидатора Pydantic</t>
        </is>
      </c>
      <c r="D32" s="58" t="inlineStr">
        <is>
          <t>tests</t>
        </is>
      </c>
      <c r="E32" s="58" t="inlineStr">
        <is>
          <t>Антон</t>
        </is>
      </c>
      <c r="F32" s="58" t="n">
        <v>2</v>
      </c>
      <c r="G32" s="58" t="n">
        <v>2.5</v>
      </c>
      <c r="J32" s="57" t="inlineStr">
        <is>
          <t>Sprint 3</t>
        </is>
      </c>
      <c r="K32" s="40">
        <f>SUMIFS($G$5:$G$200,$E$5:$E$200,$J$28,$D$5:$D$200,K$29,$A$5:$A$200,VALUE(RIGHT($J32,1)))</f>
        <v/>
      </c>
      <c r="L32" s="40">
        <f>SUMIFS($G$5:$G$200,$E$5:$E$200,$J$28,$D$5:$D$200,L$29,$A$5:$A$200,VALUE(RIGHT($J32,1)))</f>
        <v/>
      </c>
      <c r="M32" s="40">
        <f>SUMIFS($G$5:$G$200,$E$5:$E$200,$J$28,$D$5:$D$200,M$29,$A$5:$A$200,VALUE(RIGHT($J32,1)))</f>
        <v/>
      </c>
      <c r="N32" s="40">
        <f>SUMIFS($G$5:$G$200,$E$5:$E$200,$J$28,$D$5:$D$200,N$29,$A$5:$A$200,VALUE(RIGHT($J32,1)))</f>
        <v/>
      </c>
      <c r="O32" s="40">
        <f>SUMIFS($G$5:$G$200,$E$5:$E$200,$J$28,$D$5:$D$200,O$29,$A$5:$A$200,VALUE(RIGHT($J32,1)))</f>
        <v/>
      </c>
      <c r="P32" s="40">
        <f>SUMIFS($G$5:$G$200,$E$5:$E$200,$J$28,$D$5:$D$200,P$29,$A$5:$A$200,VALUE(RIGHT($J32,1)))</f>
        <v/>
      </c>
      <c r="Q32" s="40">
        <f>SUMIFS($G$5:$G$200,$E$5:$E$200,$J$28,$D$5:$D$200,Q$29,$A$5:$A$200,VALUE(RIGHT($J32,1)))</f>
        <v/>
      </c>
      <c r="R32" s="40">
        <f>SUM(K32:Q32)</f>
        <v/>
      </c>
      <c r="S32" s="67">
        <f>IF(R32=0,0,M32/R32)</f>
        <v/>
      </c>
    </row>
    <row r="33" ht="14.25" customHeight="1" s="37">
      <c r="A33" s="58" t="n">
        <v>3</v>
      </c>
      <c r="B33" s="58" t="n">
        <v>5</v>
      </c>
      <c r="C33" s="58" t="inlineStr">
        <is>
          <t>SCRUM-26: Ручное тестирование эндпоинтов и README</t>
        </is>
      </c>
      <c r="D33" s="58" t="inlineStr">
        <is>
          <t>doc</t>
        </is>
      </c>
      <c r="E33" s="58" t="inlineStr">
        <is>
          <t>Антон</t>
        </is>
      </c>
      <c r="F33" s="58" t="n">
        <v>3</v>
      </c>
      <c r="G33" s="58" t="n">
        <v>0</v>
      </c>
      <c r="J33" s="57" t="inlineStr">
        <is>
          <t>Sprint 4</t>
        </is>
      </c>
      <c r="K33" s="40">
        <f>SUMIFS($G$5:$G$200,$E$5:$E$200,$J$28,$D$5:$D$200,K$29,$A$5:$A$200,VALUE(RIGHT($J33,1)))</f>
        <v/>
      </c>
      <c r="L33" s="40">
        <f>SUMIFS($G$5:$G$200,$E$5:$E$200,$J$28,$D$5:$D$200,L$29,$A$5:$A$200,VALUE(RIGHT($J33,1)))</f>
        <v/>
      </c>
      <c r="M33" s="40">
        <f>SUMIFS($G$5:$G$200,$E$5:$E$200,$J$28,$D$5:$D$200,M$29,$A$5:$A$200,VALUE(RIGHT($J33,1)))</f>
        <v/>
      </c>
      <c r="N33" s="40">
        <f>SUMIFS($G$5:$G$200,$E$5:$E$200,$J$28,$D$5:$D$200,N$29,$A$5:$A$200,VALUE(RIGHT($J33,1)))</f>
        <v/>
      </c>
      <c r="O33" s="40">
        <f>SUMIFS($G$5:$G$200,$E$5:$E$200,$J$28,$D$5:$D$200,O$29,$A$5:$A$200,VALUE(RIGHT($J33,1)))</f>
        <v/>
      </c>
      <c r="P33" s="40">
        <f>SUMIFS($G$5:$G$200,$E$5:$E$200,$J$28,$D$5:$D$200,P$29,$A$5:$A$200,VALUE(RIGHT($J33,1)))</f>
        <v/>
      </c>
      <c r="Q33" s="40">
        <f>SUMIFS($G$5:$G$200,$E$5:$E$200,$J$28,$D$5:$D$200,Q$29,$A$5:$A$200,VALUE(RIGHT($J33,1)))</f>
        <v/>
      </c>
      <c r="R33" s="40">
        <f>SUM(K33:Q33)</f>
        <v/>
      </c>
      <c r="S33" s="67">
        <f>IF(R33=0,0,M33/R33)</f>
        <v/>
      </c>
    </row>
    <row r="34" ht="14.25" customHeight="1" s="37">
      <c r="A34" s="58" t="n">
        <v>3</v>
      </c>
      <c r="B34" s="58" t="n">
        <v>6</v>
      </c>
      <c r="C34" s="58" t="inlineStr">
        <is>
          <t>SCRUM-17: Встреча по визуальному интерфейсу</t>
        </is>
      </c>
      <c r="D34" s="58" t="inlineStr">
        <is>
          <t>org</t>
        </is>
      </c>
      <c r="E34" s="58" t="inlineStr">
        <is>
          <t>Антон</t>
        </is>
      </c>
      <c r="F34" s="58" t="n">
        <v>1</v>
      </c>
      <c r="G34" s="58" t="n">
        <v>0.75</v>
      </c>
      <c r="J34" s="57" t="inlineStr">
        <is>
          <t>Sprint 5</t>
        </is>
      </c>
      <c r="K34" s="40">
        <f>SUMIFS($G$5:$G$200,$E$5:$E$200,$J$28,$D$5:$D$200,K$29,$A$5:$A$200,VALUE(RIGHT($J34,1)))</f>
        <v/>
      </c>
      <c r="L34" s="40">
        <f>SUMIFS($G$5:$G$200,$E$5:$E$200,$J$28,$D$5:$D$200,L$29,$A$5:$A$200,VALUE(RIGHT($J34,1)))</f>
        <v/>
      </c>
      <c r="M34" s="40">
        <f>SUMIFS($G$5:$G$200,$E$5:$E$200,$J$28,$D$5:$D$200,M$29,$A$5:$A$200,VALUE(RIGHT($J34,1)))</f>
        <v/>
      </c>
      <c r="N34" s="40">
        <f>SUMIFS($G$5:$G$200,$E$5:$E$200,$J$28,$D$5:$D$200,N$29,$A$5:$A$200,VALUE(RIGHT($J34,1)))</f>
        <v/>
      </c>
      <c r="O34" s="40">
        <f>SUMIFS($G$5:$G$200,$E$5:$E$200,$J$28,$D$5:$D$200,O$29,$A$5:$A$200,VALUE(RIGHT($J34,1)))</f>
        <v/>
      </c>
      <c r="P34" s="40">
        <f>SUMIFS($G$5:$G$200,$E$5:$E$200,$J$28,$D$5:$D$200,P$29,$A$5:$A$200,VALUE(RIGHT($J34,1)))</f>
        <v/>
      </c>
      <c r="Q34" s="40">
        <f>SUMIFS($G$5:$G$200,$E$5:$E$200,$J$28,$D$5:$D$200,Q$29,$A$5:$A$200,VALUE(RIGHT($J34,1)))</f>
        <v/>
      </c>
      <c r="R34" s="40">
        <f>SUM(K34:Q34)</f>
        <v/>
      </c>
      <c r="S34" s="67">
        <f>IF(R34=0,0,M34/R34)</f>
        <v/>
      </c>
    </row>
    <row r="35" ht="14.25" customHeight="1" s="37">
      <c r="J35" s="57" t="inlineStr">
        <is>
          <t>Sprint 6</t>
        </is>
      </c>
      <c r="K35" s="40">
        <f>SUMIFS($G$5:$G$200,$E$5:$E$200,$J$28,$D$5:$D$200,K$29,$A$5:$A$200,VALUE(RIGHT($J35,1)))</f>
        <v/>
      </c>
      <c r="L35" s="40">
        <f>SUMIFS($G$5:$G$200,$E$5:$E$200,$J$28,$D$5:$D$200,L$29,$A$5:$A$200,VALUE(RIGHT($J35,1)))</f>
        <v/>
      </c>
      <c r="M35" s="40">
        <f>SUMIFS($G$5:$G$200,$E$5:$E$200,$J$28,$D$5:$D$200,M$29,$A$5:$A$200,VALUE(RIGHT($J35,1)))</f>
        <v/>
      </c>
      <c r="N35" s="40">
        <f>SUMIFS($G$5:$G$200,$E$5:$E$200,$J$28,$D$5:$D$200,N$29,$A$5:$A$200,VALUE(RIGHT($J35,1)))</f>
        <v/>
      </c>
      <c r="O35" s="40">
        <f>SUMIFS($G$5:$G$200,$E$5:$E$200,$J$28,$D$5:$D$200,O$29,$A$5:$A$200,VALUE(RIGHT($J35,1)))</f>
        <v/>
      </c>
      <c r="P35" s="40">
        <f>SUMIFS($G$5:$G$200,$E$5:$E$200,$J$28,$D$5:$D$200,P$29,$A$5:$A$200,VALUE(RIGHT($J35,1)))</f>
        <v/>
      </c>
      <c r="Q35" s="40">
        <f>SUMIFS($G$5:$G$200,$E$5:$E$200,$J$28,$D$5:$D$200,Q$29,$A$5:$A$200,VALUE(RIGHT($J35,1)))</f>
        <v/>
      </c>
      <c r="R35" s="40">
        <f>SUM(K35:Q35)</f>
        <v/>
      </c>
      <c r="S35" s="67">
        <f>IF(R35=0,0,M35/R35)</f>
        <v/>
      </c>
    </row>
    <row r="36" ht="14.25" customHeight="1" s="37">
      <c r="J36" s="57" t="inlineStr">
        <is>
          <t>Sprint 7</t>
        </is>
      </c>
      <c r="K36" s="40">
        <f>SUMIFS($G$5:$G$200,$E$5:$E$200,$J$28,$D$5:$D$200,K$29,$A$5:$A$200,VALUE(RIGHT($J36,1)))</f>
        <v/>
      </c>
      <c r="L36" s="40">
        <f>SUMIFS($G$5:$G$200,$E$5:$E$200,$J$28,$D$5:$D$200,L$29,$A$5:$A$200,VALUE(RIGHT($J36,1)))</f>
        <v/>
      </c>
      <c r="M36" s="40">
        <f>SUMIFS($G$5:$G$200,$E$5:$E$200,$J$28,$D$5:$D$200,M$29,$A$5:$A$200,VALUE(RIGHT($J36,1)))</f>
        <v/>
      </c>
      <c r="N36" s="40">
        <f>SUMIFS($G$5:$G$200,$E$5:$E$200,$J$28,$D$5:$D$200,N$29,$A$5:$A$200,VALUE(RIGHT($J36,1)))</f>
        <v/>
      </c>
      <c r="O36" s="40">
        <f>SUMIFS($G$5:$G$200,$E$5:$E$200,$J$28,$D$5:$D$200,O$29,$A$5:$A$200,VALUE(RIGHT($J36,1)))</f>
        <v/>
      </c>
      <c r="P36" s="40">
        <f>SUMIFS($G$5:$G$200,$E$5:$E$200,$J$28,$D$5:$D$200,P$29,$A$5:$A$200,VALUE(RIGHT($J36,1)))</f>
        <v/>
      </c>
      <c r="Q36" s="40">
        <f>SUMIFS($G$5:$G$200,$E$5:$E$200,$J$28,$D$5:$D$200,Q$29,$A$5:$A$200,VALUE(RIGHT($J36,1)))</f>
        <v/>
      </c>
      <c r="R36" s="40">
        <f>SUM(K36:Q36)</f>
        <v/>
      </c>
      <c r="S36" s="67">
        <f>IF(R36=0,0,M36/R36)</f>
        <v/>
      </c>
    </row>
    <row r="37" ht="14.25" customHeight="1" s="37">
      <c r="J37" s="57" t="inlineStr">
        <is>
          <t>Sprint 8</t>
        </is>
      </c>
      <c r="K37" s="40">
        <f>SUMIFS($G$5:$G$200,$E$5:$E$200,$J$28,$D$5:$D$200,K$29,$A$5:$A$200,VALUE(RIGHT($J37,1)))</f>
        <v/>
      </c>
      <c r="L37" s="61">
        <f>SUMIFS($G$5:$G$200,$E$5:$E$200,$J$28,$D$5:$D$200,L$29,$A$5:$A$200,VALUE(RIGHT($J37,1)))</f>
        <v/>
      </c>
      <c r="M37" s="40">
        <f>SUMIFS($G$5:$G$200,$E$5:$E$200,$J$28,$D$5:$D$200,M$29,$A$5:$A$200,VALUE(RIGHT($J37,1)))</f>
        <v/>
      </c>
      <c r="N37" s="40">
        <f>SUMIFS($G$5:$G$200,$E$5:$E$200,$J$28,$D$5:$D$200,N$29,$A$5:$A$200,VALUE(RIGHT($J37,1)))</f>
        <v/>
      </c>
      <c r="O37" s="40">
        <f>SUMIFS($G$5:$G$200,$E$5:$E$200,$J$28,$D$5:$D$200,O$29,$A$5:$A$200,VALUE(RIGHT($J37,1)))</f>
        <v/>
      </c>
      <c r="P37" s="40">
        <f>SUMIFS($G$5:$G$200,$E$5:$E$200,$J$28,$D$5:$D$200,P$29,$A$5:$A$200,VALUE(RIGHT($J37,1)))</f>
        <v/>
      </c>
      <c r="Q37" s="40">
        <f>SUMIFS($G$5:$G$200,$E$5:$E$200,$J$28,$D$5:$D$200,Q$29,$A$5:$A$200,VALUE(RIGHT($J37,1)))</f>
        <v/>
      </c>
      <c r="R37" s="40">
        <f>SUM(K37:Q37)</f>
        <v/>
      </c>
      <c r="S37" s="67">
        <f>IF(R37=0,0,M37/R37)</f>
        <v/>
      </c>
    </row>
    <row r="38" ht="14.25" customHeight="1" s="37">
      <c r="J38" s="62" t="inlineStr">
        <is>
          <t>Итого</t>
        </is>
      </c>
      <c r="K38" s="63">
        <f>SUM(K30:K37)</f>
        <v/>
      </c>
      <c r="L38" s="63">
        <f>SUM(L30:L37)</f>
        <v/>
      </c>
      <c r="M38" s="63">
        <f>SUM(M30:M37)</f>
        <v/>
      </c>
      <c r="N38" s="63">
        <f>SUM(N30:N37)</f>
        <v/>
      </c>
      <c r="O38" s="63">
        <f>SUM(O30:O37)</f>
        <v/>
      </c>
      <c r="P38" s="63">
        <f>SUM(P30:P37)</f>
        <v/>
      </c>
      <c r="Q38" s="63">
        <f>SUM(Q30:Q37)</f>
        <v/>
      </c>
      <c r="R38" s="62">
        <f>SUM(K38:Q38)</f>
        <v/>
      </c>
      <c r="S38" s="67">
        <f>IF(R38=0,0,M38/R38)</f>
        <v/>
      </c>
    </row>
    <row r="41" ht="14.25" customHeight="1" s="37">
      <c r="J41" s="68" t="inlineStr">
        <is>
          <t>Евгений</t>
        </is>
      </c>
    </row>
    <row r="42" ht="14.25" customHeight="1" s="37">
      <c r="J42" s="57" t="inlineStr">
        <is>
          <t>Категории</t>
        </is>
      </c>
      <c r="K42" s="57" t="inlineStr">
        <is>
          <t>org</t>
        </is>
      </c>
      <c r="L42" s="57" t="inlineStr">
        <is>
          <t>doc</t>
        </is>
      </c>
      <c r="M42" s="57" t="inlineStr">
        <is>
          <t>study</t>
        </is>
      </c>
      <c r="N42" s="57" t="inlineStr">
        <is>
          <t>BE</t>
        </is>
      </c>
      <c r="O42" s="57" t="inlineStr">
        <is>
          <t>FE</t>
        </is>
      </c>
      <c r="P42" s="57" t="inlineStr">
        <is>
          <t>tests</t>
        </is>
      </c>
      <c r="Q42" s="57" t="inlineStr">
        <is>
          <t>env</t>
        </is>
      </c>
      <c r="R42" s="57" t="inlineStr">
        <is>
          <t>Суммарно</t>
        </is>
      </c>
      <c r="S42" s="65" t="inlineStr">
        <is>
          <t>%study/project</t>
        </is>
      </c>
    </row>
    <row r="43" ht="14.25" customHeight="1" s="37">
      <c r="J43" s="57" t="inlineStr">
        <is>
          <t>Sprint 1</t>
        </is>
      </c>
      <c r="K43" s="40">
        <f>SUMIFS($G$5:$G$200,$E$5:$E$200,$J$41,$D$5:$D$200,K$42,$A$5:$A$200,VALUE(RIGHT($J43,1)))</f>
        <v/>
      </c>
      <c r="L43" s="40">
        <f>SUMIFS($G$5:$G$200,$E$5:$E$200,$J$41,$D$5:$D$200,L$42,$A$5:$A$200,VALUE(RIGHT($J43,1)))</f>
        <v/>
      </c>
      <c r="M43" s="40">
        <f>SUMIFS($G$5:$G$200,$E$5:$E$200,$J$41,$D$5:$D$200,M$42,$A$5:$A$200,VALUE(RIGHT($J43,1)))</f>
        <v/>
      </c>
      <c r="N43" s="40">
        <f>SUMIFS($G$5:$G$200,$E$5:$E$200,$J$41,$D$5:$D$200,N$42,$A$5:$A$200,VALUE(RIGHT($J43,1)))</f>
        <v/>
      </c>
      <c r="O43" s="40">
        <f>SUMIFS($G$5:$G$200,$E$5:$E$200,$J$41,$D$5:$D$200,O$42,$A$5:$A$200,VALUE(RIGHT($J43,1)))</f>
        <v/>
      </c>
      <c r="P43" s="40">
        <f>SUMIFS($G$5:$G$200,$E$5:$E$200,$J$41,$D$5:$D$200,P$42,$A$5:$A$200,VALUE(RIGHT($J43,1)))</f>
        <v/>
      </c>
      <c r="Q43" s="40">
        <f>SUMIFS($G$5:$G$200,$E$5:$E$200,$J$41,$D$5:$D$200,Q$42,$A$5:$A$200,VALUE(RIGHT($J43,1)))</f>
        <v/>
      </c>
      <c r="R43" s="40">
        <f>SUM(K43:Q43)</f>
        <v/>
      </c>
      <c r="S43" s="67">
        <f>IF(R43=0,0,M43/R43)</f>
        <v/>
      </c>
    </row>
    <row r="44" ht="14.25" customHeight="1" s="37">
      <c r="J44" s="57" t="inlineStr">
        <is>
          <t>Sprint 2</t>
        </is>
      </c>
      <c r="K44" s="40">
        <f>SUMIFS($G$5:$G$200,$E$5:$E$200,$J$41,$D$5:$D$200,K$42,$A$5:$A$200,VALUE(RIGHT($J44,1)))</f>
        <v/>
      </c>
      <c r="L44" s="40">
        <f>SUMIFS($G$5:$G$200,$E$5:$E$200,$J$41,$D$5:$D$200,L$42,$A$5:$A$200,VALUE(RIGHT($J44,1)))</f>
        <v/>
      </c>
      <c r="M44" s="40">
        <f>SUMIFS($G$5:$G$200,$E$5:$E$200,$J$41,$D$5:$D$200,M$42,$A$5:$A$200,VALUE(RIGHT($J44,1)))</f>
        <v/>
      </c>
      <c r="N44" s="40">
        <f>SUMIFS($G$5:$G$200,$E$5:$E$200,$J$41,$D$5:$D$200,N$42,$A$5:$A$200,VALUE(RIGHT($J44,1)))</f>
        <v/>
      </c>
      <c r="O44" s="40">
        <f>SUMIFS($G$5:$G$200,$E$5:$E$200,$J$41,$D$5:$D$200,O$42,$A$5:$A$200,VALUE(RIGHT($J44,1)))</f>
        <v/>
      </c>
      <c r="P44" s="40">
        <f>SUMIFS($G$5:$G$200,$E$5:$E$200,$J$41,$D$5:$D$200,P$42,$A$5:$A$200,VALUE(RIGHT($J44,1)))</f>
        <v/>
      </c>
      <c r="Q44" s="40">
        <f>SUMIFS($G$5:$G$200,$E$5:$E$200,$J$41,$D$5:$D$200,Q$42,$A$5:$A$200,VALUE(RIGHT($J44,1)))</f>
        <v/>
      </c>
      <c r="R44" s="40">
        <f>SUM(K44:Q44)</f>
        <v/>
      </c>
      <c r="S44" s="67">
        <f>IF(R44=0,0,M44/R44)</f>
        <v/>
      </c>
    </row>
    <row r="45" ht="14.25" customHeight="1" s="37">
      <c r="J45" s="57" t="inlineStr">
        <is>
          <t>Sprint 3</t>
        </is>
      </c>
      <c r="K45" s="40">
        <f>SUMIFS($G$5:$G$200,$E$5:$E$200,$J$41,$D$5:$D$200,K$42,$A$5:$A$200,VALUE(RIGHT($J45,1)))</f>
        <v/>
      </c>
      <c r="L45" s="40">
        <f>SUMIFS($G$5:$G$200,$E$5:$E$200,$J$41,$D$5:$D$200,L$42,$A$5:$A$200,VALUE(RIGHT($J45,1)))</f>
        <v/>
      </c>
      <c r="M45" s="40">
        <f>SUMIFS($G$5:$G$200,$E$5:$E$200,$J$41,$D$5:$D$200,M$42,$A$5:$A$200,VALUE(RIGHT($J45,1)))</f>
        <v/>
      </c>
      <c r="N45" s="40">
        <f>SUMIFS($G$5:$G$200,$E$5:$E$200,$J$41,$D$5:$D$200,N$42,$A$5:$A$200,VALUE(RIGHT($J45,1)))</f>
        <v/>
      </c>
      <c r="O45" s="40">
        <f>SUMIFS($G$5:$G$200,$E$5:$E$200,$J$41,$D$5:$D$200,O$42,$A$5:$A$200,VALUE(RIGHT($J45,1)))</f>
        <v/>
      </c>
      <c r="P45" s="40">
        <f>SUMIFS($G$5:$G$200,$E$5:$E$200,$J$41,$D$5:$D$200,P$42,$A$5:$A$200,VALUE(RIGHT($J45,1)))</f>
        <v/>
      </c>
      <c r="Q45" s="40">
        <f>SUMIFS($G$5:$G$200,$E$5:$E$200,$J$41,$D$5:$D$200,Q$42,$A$5:$A$200,VALUE(RIGHT($J45,1)))</f>
        <v/>
      </c>
      <c r="R45" s="40">
        <f>SUM(K45:Q45)</f>
        <v/>
      </c>
      <c r="S45" s="67">
        <f>IF(R45=0,0,M45/R45)</f>
        <v/>
      </c>
    </row>
    <row r="46" ht="14.25" customHeight="1" s="37">
      <c r="J46" s="57" t="inlineStr">
        <is>
          <t>Sprint 4</t>
        </is>
      </c>
      <c r="K46" s="40">
        <f>SUMIFS($G$5:$G$200,$E$5:$E$200,$J$41,$D$5:$D$200,K$42,$A$5:$A$200,VALUE(RIGHT($J46,1)))</f>
        <v/>
      </c>
      <c r="L46" s="40">
        <f>SUMIFS($G$5:$G$200,$E$5:$E$200,$J$41,$D$5:$D$200,L$42,$A$5:$A$200,VALUE(RIGHT($J46,1)))</f>
        <v/>
      </c>
      <c r="M46" s="40">
        <f>SUMIFS($G$5:$G$200,$E$5:$E$200,$J$41,$D$5:$D$200,M$42,$A$5:$A$200,VALUE(RIGHT($J46,1)))</f>
        <v/>
      </c>
      <c r="N46" s="40">
        <f>SUMIFS($G$5:$G$200,$E$5:$E$200,$J$41,$D$5:$D$200,N$42,$A$5:$A$200,VALUE(RIGHT($J46,1)))</f>
        <v/>
      </c>
      <c r="O46" s="40">
        <f>SUMIFS($G$5:$G$200,$E$5:$E$200,$J$41,$D$5:$D$200,O$42,$A$5:$A$200,VALUE(RIGHT($J46,1)))</f>
        <v/>
      </c>
      <c r="P46" s="40">
        <f>SUMIFS($G$5:$G$200,$E$5:$E$200,$J$41,$D$5:$D$200,P$42,$A$5:$A$200,VALUE(RIGHT($J46,1)))</f>
        <v/>
      </c>
      <c r="Q46" s="40">
        <f>SUMIFS($G$5:$G$200,$E$5:$E$200,$J$41,$D$5:$D$200,Q$42,$A$5:$A$200,VALUE(RIGHT($J46,1)))</f>
        <v/>
      </c>
      <c r="R46" s="40">
        <f>SUM(K46:Q46)</f>
        <v/>
      </c>
      <c r="S46" s="67">
        <f>IF(R46=0,0,M46/R46)</f>
        <v/>
      </c>
    </row>
    <row r="47" ht="14.25" customHeight="1" s="37">
      <c r="J47" s="57" t="inlineStr">
        <is>
          <t>Sprint 5</t>
        </is>
      </c>
      <c r="K47" s="40">
        <f>SUMIFS($G$5:$G$200,$E$5:$E$200,$J$41,$D$5:$D$200,K$42,$A$5:$A$200,VALUE(RIGHT($J47,1)))</f>
        <v/>
      </c>
      <c r="L47" s="40">
        <f>SUMIFS($G$5:$G$200,$E$5:$E$200,$J$41,$D$5:$D$200,L$42,$A$5:$A$200,VALUE(RIGHT($J47,1)))</f>
        <v/>
      </c>
      <c r="M47" s="40">
        <f>SUMIFS($G$5:$G$200,$E$5:$E$200,$J$41,$D$5:$D$200,M$42,$A$5:$A$200,VALUE(RIGHT($J47,1)))</f>
        <v/>
      </c>
      <c r="N47" s="40">
        <f>SUMIFS($G$5:$G$200,$E$5:$E$200,$J$41,$D$5:$D$200,N$42,$A$5:$A$200,VALUE(RIGHT($J47,1)))</f>
        <v/>
      </c>
      <c r="O47" s="40">
        <f>SUMIFS($G$5:$G$200,$E$5:$E$200,$J$41,$D$5:$D$200,O$42,$A$5:$A$200,VALUE(RIGHT($J47,1)))</f>
        <v/>
      </c>
      <c r="P47" s="40">
        <f>SUMIFS($G$5:$G$200,$E$5:$E$200,$J$41,$D$5:$D$200,P$42,$A$5:$A$200,VALUE(RIGHT($J47,1)))</f>
        <v/>
      </c>
      <c r="Q47" s="40">
        <f>SUMIFS($G$5:$G$200,$E$5:$E$200,$J$41,$D$5:$D$200,Q$42,$A$5:$A$200,VALUE(RIGHT($J47,1)))</f>
        <v/>
      </c>
      <c r="R47" s="40">
        <f>SUM(K47:Q47)</f>
        <v/>
      </c>
      <c r="S47" s="67">
        <f>IF(R47=0,0,M47/R47)</f>
        <v/>
      </c>
    </row>
    <row r="48" ht="14.25" customHeight="1" s="37">
      <c r="J48" s="57" t="inlineStr">
        <is>
          <t>Sprint 6</t>
        </is>
      </c>
      <c r="K48" s="40">
        <f>SUMIFS($G$5:$G$200,$E$5:$E$200,$J$41,$D$5:$D$200,K$42,$A$5:$A$200,VALUE(RIGHT($J48,1)))</f>
        <v/>
      </c>
      <c r="L48" s="40">
        <f>SUMIFS($G$5:$G$200,$E$5:$E$200,$J$41,$D$5:$D$200,L$42,$A$5:$A$200,VALUE(RIGHT($J48,1)))</f>
        <v/>
      </c>
      <c r="M48" s="40">
        <f>SUMIFS($G$5:$G$200,$E$5:$E$200,$J$41,$D$5:$D$200,M$42,$A$5:$A$200,VALUE(RIGHT($J48,1)))</f>
        <v/>
      </c>
      <c r="N48" s="40">
        <f>SUMIFS($G$5:$G$200,$E$5:$E$200,$J$41,$D$5:$D$200,N$42,$A$5:$A$200,VALUE(RIGHT($J48,1)))</f>
        <v/>
      </c>
      <c r="O48" s="40">
        <f>SUMIFS($G$5:$G$200,$E$5:$E$200,$J$41,$D$5:$D$200,O$42,$A$5:$A$200,VALUE(RIGHT($J48,1)))</f>
        <v/>
      </c>
      <c r="P48" s="40">
        <f>SUMIFS($G$5:$G$200,$E$5:$E$200,$J$41,$D$5:$D$200,P$42,$A$5:$A$200,VALUE(RIGHT($J48,1)))</f>
        <v/>
      </c>
      <c r="Q48" s="40">
        <f>SUMIFS($G$5:$G$200,$E$5:$E$200,$J$41,$D$5:$D$200,Q$42,$A$5:$A$200,VALUE(RIGHT($J48,1)))</f>
        <v/>
      </c>
      <c r="R48" s="40">
        <f>SUM(K48:Q48)</f>
        <v/>
      </c>
      <c r="S48" s="67">
        <f>IF(R48=0,0,M48/R48)</f>
        <v/>
      </c>
    </row>
    <row r="49" ht="14.25" customHeight="1" s="37">
      <c r="J49" s="57" t="inlineStr">
        <is>
          <t>Sprint 7</t>
        </is>
      </c>
      <c r="K49" s="40">
        <f>SUMIFS($G$5:$G$200,$E$5:$E$200,$J$41,$D$5:$D$200,K$42,$A$5:$A$200,VALUE(RIGHT($J49,1)))</f>
        <v/>
      </c>
      <c r="L49" s="40">
        <f>SUMIFS($G$5:$G$200,$E$5:$E$200,$J$41,$D$5:$D$200,L$42,$A$5:$A$200,VALUE(RIGHT($J49,1)))</f>
        <v/>
      </c>
      <c r="M49" s="40">
        <f>SUMIFS($G$5:$G$200,$E$5:$E$200,$J$41,$D$5:$D$200,M$42,$A$5:$A$200,VALUE(RIGHT($J49,1)))</f>
        <v/>
      </c>
      <c r="N49" s="40">
        <f>SUMIFS($G$5:$G$200,$E$5:$E$200,$J$41,$D$5:$D$200,N$42,$A$5:$A$200,VALUE(RIGHT($J49,1)))</f>
        <v/>
      </c>
      <c r="O49" s="40">
        <f>SUMIFS($G$5:$G$200,$E$5:$E$200,$J$41,$D$5:$D$200,O$42,$A$5:$A$200,VALUE(RIGHT($J49,1)))</f>
        <v/>
      </c>
      <c r="P49" s="40">
        <f>SUMIFS($G$5:$G$200,$E$5:$E$200,$J$41,$D$5:$D$200,P$42,$A$5:$A$200,VALUE(RIGHT($J49,1)))</f>
        <v/>
      </c>
      <c r="Q49" s="40">
        <f>SUMIFS($G$5:$G$200,$E$5:$E$200,$J$41,$D$5:$D$200,Q$42,$A$5:$A$200,VALUE(RIGHT($J49,1)))</f>
        <v/>
      </c>
      <c r="R49" s="40">
        <f>SUM(K49:Q49)</f>
        <v/>
      </c>
      <c r="S49" s="67">
        <f>IF(R49=0,0,M49/R49)</f>
        <v/>
      </c>
    </row>
    <row r="50" ht="14.25" customHeight="1" s="37">
      <c r="J50" s="57" t="inlineStr">
        <is>
          <t>Sprint 8</t>
        </is>
      </c>
      <c r="K50" s="40">
        <f>SUMIFS($G$5:$G$200,$E$5:$E$200,$J$41,$D$5:$D$200,K$42,$A$5:$A$200,VALUE(RIGHT($J50,1)))</f>
        <v/>
      </c>
      <c r="L50" s="61">
        <f>SUMIFS($G$5:$G$200,$E$5:$E$200,$J$41,$D$5:$D$200,L$42,$A$5:$A$200,VALUE(RIGHT($J50,1)))</f>
        <v/>
      </c>
      <c r="M50" s="40">
        <f>SUMIFS($G$5:$G$200,$E$5:$E$200,$J$41,$D$5:$D$200,M$42,$A$5:$A$200,VALUE(RIGHT($J50,1)))</f>
        <v/>
      </c>
      <c r="N50" s="40">
        <f>SUMIFS($G$5:$G$200,$E$5:$E$200,$J$41,$D$5:$D$200,N$42,$A$5:$A$200,VALUE(RIGHT($J50,1)))</f>
        <v/>
      </c>
      <c r="O50" s="40">
        <f>SUMIFS($G$5:$G$200,$E$5:$E$200,$J$41,$D$5:$D$200,O$42,$A$5:$A$200,VALUE(RIGHT($J50,1)))</f>
        <v/>
      </c>
      <c r="P50" s="40">
        <f>SUMIFS($G$5:$G$200,$E$5:$E$200,$J$41,$D$5:$D$200,P$42,$A$5:$A$200,VALUE(RIGHT($J50,1)))</f>
        <v/>
      </c>
      <c r="Q50" s="40">
        <f>SUMIFS($G$5:$G$200,$E$5:$E$200,$J$41,$D$5:$D$200,Q$42,$A$5:$A$200,VALUE(RIGHT($J50,1)))</f>
        <v/>
      </c>
      <c r="R50" s="40">
        <f>SUM(K50:Q50)</f>
        <v/>
      </c>
      <c r="S50" s="67">
        <f>IF(R50=0,0,M50/R50)</f>
        <v/>
      </c>
    </row>
    <row r="51" ht="14.25" customHeight="1" s="37">
      <c r="J51" s="62" t="inlineStr">
        <is>
          <t>Итого</t>
        </is>
      </c>
      <c r="K51" s="63">
        <f>SUM(K43:K50)</f>
        <v/>
      </c>
      <c r="L51" s="63">
        <f>SUM(L43:L50)</f>
        <v/>
      </c>
      <c r="M51" s="63">
        <f>SUM(M43:M50)</f>
        <v/>
      </c>
      <c r="N51" s="63">
        <f>SUM(N43:N50)</f>
        <v/>
      </c>
      <c r="O51" s="63">
        <f>SUM(O43:O50)</f>
        <v/>
      </c>
      <c r="P51" s="63">
        <f>SUM(P43:P50)</f>
        <v/>
      </c>
      <c r="Q51" s="63">
        <f>SUM(Q43:Q50)</f>
        <v/>
      </c>
      <c r="R51" s="62">
        <f>SUM(K51:Q51)</f>
        <v/>
      </c>
      <c r="S51" s="67">
        <f>IF(R51=0,0,M51/R51)</f>
        <v/>
      </c>
    </row>
    <row r="54" ht="14.25" customHeight="1" s="37">
      <c r="J54" s="68" t="inlineStr">
        <is>
          <t>Тамара</t>
        </is>
      </c>
    </row>
    <row r="55" ht="14.25" customHeight="1" s="37">
      <c r="J55" s="57" t="inlineStr">
        <is>
          <t>Категории</t>
        </is>
      </c>
      <c r="K55" s="57" t="inlineStr">
        <is>
          <t>org</t>
        </is>
      </c>
      <c r="L55" s="57" t="inlineStr">
        <is>
          <t>doc</t>
        </is>
      </c>
      <c r="M55" s="57" t="inlineStr">
        <is>
          <t>study</t>
        </is>
      </c>
      <c r="N55" s="57" t="inlineStr">
        <is>
          <t>BE</t>
        </is>
      </c>
      <c r="O55" s="57" t="inlineStr">
        <is>
          <t>FE</t>
        </is>
      </c>
      <c r="P55" s="57" t="inlineStr">
        <is>
          <t>tests</t>
        </is>
      </c>
      <c r="Q55" s="57" t="inlineStr">
        <is>
          <t>env</t>
        </is>
      </c>
      <c r="R55" s="57" t="inlineStr">
        <is>
          <t>Суммарно</t>
        </is>
      </c>
      <c r="S55" s="65" t="inlineStr">
        <is>
          <t>%study/project</t>
        </is>
      </c>
    </row>
    <row r="56" ht="14.25" customHeight="1" s="37">
      <c r="J56" s="57" t="inlineStr">
        <is>
          <t>Sprint 1</t>
        </is>
      </c>
      <c r="K56" s="40">
        <f>SUMIFS($G$5:$G$200,$E$5:$E$200,$J$54,$D$5:$D$200,K$55,$A$5:$A$200,VALUE(RIGHT($J56,1)))</f>
        <v/>
      </c>
      <c r="L56" s="40">
        <f>SUMIFS($G$5:$G$200,$E$5:$E$200,$J$54,$D$5:$D$200,L$55,$A$5:$A$200,VALUE(RIGHT($J56,1)))</f>
        <v/>
      </c>
      <c r="M56" s="40">
        <f>SUMIFS($G$5:$G$200,$E$5:$E$200,$J$54,$D$5:$D$200,M$55,$A$5:$A$200,VALUE(RIGHT($J56,1)))</f>
        <v/>
      </c>
      <c r="N56" s="40">
        <f>SUMIFS($G$5:$G$200,$E$5:$E$200,$J$54,$D$5:$D$200,N$55,$A$5:$A$200,VALUE(RIGHT($J56,1)))</f>
        <v/>
      </c>
      <c r="O56" s="40">
        <f>SUMIFS($G$5:$G$200,$E$5:$E$200,$J$54,$D$5:$D$200,O$55,$A$5:$A$200,VALUE(RIGHT($J56,1)))</f>
        <v/>
      </c>
      <c r="P56" s="40">
        <f>SUMIFS($G$5:$G$200,$E$5:$E$200,$J$54,$D$5:$D$200,P$55,$A$5:$A$200,VALUE(RIGHT($J56,1)))</f>
        <v/>
      </c>
      <c r="Q56" s="40">
        <f>SUMIFS($G$5:$G$200,$E$5:$E$200,$J$54,$D$5:$D$200,Q$55,$A$5:$A$200,VALUE(RIGHT($J56,1)))</f>
        <v/>
      </c>
      <c r="R56" s="40">
        <f>SUM(K56:Q56)</f>
        <v/>
      </c>
      <c r="S56" s="67">
        <f>IF(R56=0,0,M56/R56)</f>
        <v/>
      </c>
    </row>
    <row r="57" ht="14.25" customHeight="1" s="37">
      <c r="J57" s="57" t="inlineStr">
        <is>
          <t>Sprint 2</t>
        </is>
      </c>
      <c r="K57" s="40">
        <f>SUMIFS($G$5:$G$200,$E$5:$E$200,$J$54,$D$5:$D$200,K$55,$A$5:$A$200,VALUE(RIGHT($J57,1)))</f>
        <v/>
      </c>
      <c r="L57" s="40">
        <f>SUMIFS($G$5:$G$200,$E$5:$E$200,$J$54,$D$5:$D$200,L$55,$A$5:$A$200,VALUE(RIGHT($J57,1)))</f>
        <v/>
      </c>
      <c r="M57" s="40">
        <f>SUMIFS($G$5:$G$200,$E$5:$E$200,$J$54,$D$5:$D$200,M$55,$A$5:$A$200,VALUE(RIGHT($J57,1)))</f>
        <v/>
      </c>
      <c r="N57" s="40">
        <f>SUMIFS($G$5:$G$200,$E$5:$E$200,$J$54,$D$5:$D$200,N$55,$A$5:$A$200,VALUE(RIGHT($J57,1)))</f>
        <v/>
      </c>
      <c r="O57" s="40">
        <f>SUMIFS($G$5:$G$200,$E$5:$E$200,$J$54,$D$5:$D$200,O$55,$A$5:$A$200,VALUE(RIGHT($J57,1)))</f>
        <v/>
      </c>
      <c r="P57" s="40">
        <f>SUMIFS($G$5:$G$200,$E$5:$E$200,$J$54,$D$5:$D$200,P$55,$A$5:$A$200,VALUE(RIGHT($J57,1)))</f>
        <v/>
      </c>
      <c r="Q57" s="40">
        <f>SUMIFS($G$5:$G$200,$E$5:$E$200,$J$54,$D$5:$D$200,Q$55,$A$5:$A$200,VALUE(RIGHT($J57,1)))</f>
        <v/>
      </c>
      <c r="R57" s="40">
        <f>SUM(K57:Q57)</f>
        <v/>
      </c>
      <c r="S57" s="67">
        <f>IF(R57=0,0,M57/R57)</f>
        <v/>
      </c>
    </row>
    <row r="58" ht="14.25" customHeight="1" s="37">
      <c r="J58" s="57" t="inlineStr">
        <is>
          <t>Sprint 3</t>
        </is>
      </c>
      <c r="K58" s="40">
        <f>SUMIFS($G$5:$G$200,$E$5:$E$200,$J$54,$D$5:$D$200,K$55,$A$5:$A$200,VALUE(RIGHT($J58,1)))</f>
        <v/>
      </c>
      <c r="L58" s="40">
        <f>SUMIFS($G$5:$G$200,$E$5:$E$200,$J$54,$D$5:$D$200,L$55,$A$5:$A$200,VALUE(RIGHT($J58,1)))</f>
        <v/>
      </c>
      <c r="M58" s="40">
        <f>SUMIFS($G$5:$G$200,$E$5:$E$200,$J$54,$D$5:$D$200,M$55,$A$5:$A$200,VALUE(RIGHT($J58,1)))</f>
        <v/>
      </c>
      <c r="N58" s="40">
        <f>SUMIFS($G$5:$G$200,$E$5:$E$200,$J$54,$D$5:$D$200,N$55,$A$5:$A$200,VALUE(RIGHT($J58,1)))</f>
        <v/>
      </c>
      <c r="O58" s="40">
        <f>SUMIFS($G$5:$G$200,$E$5:$E$200,$J$54,$D$5:$D$200,O$55,$A$5:$A$200,VALUE(RIGHT($J58,1)))</f>
        <v/>
      </c>
      <c r="P58" s="40">
        <f>SUMIFS($G$5:$G$200,$E$5:$E$200,$J$54,$D$5:$D$200,P$55,$A$5:$A$200,VALUE(RIGHT($J58,1)))</f>
        <v/>
      </c>
      <c r="Q58" s="40">
        <f>SUMIFS($G$5:$G$200,$E$5:$E$200,$J$54,$D$5:$D$200,Q$55,$A$5:$A$200,VALUE(RIGHT($J58,1)))</f>
        <v/>
      </c>
      <c r="R58" s="40">
        <f>SUM(K58:Q58)</f>
        <v/>
      </c>
      <c r="S58" s="67">
        <f>IF(R58=0,0,M58/R58)</f>
        <v/>
      </c>
    </row>
    <row r="59" ht="14.25" customHeight="1" s="37">
      <c r="J59" s="57" t="inlineStr">
        <is>
          <t>Sprint 4</t>
        </is>
      </c>
      <c r="K59" s="40">
        <f>SUMIFS($G$5:$G$200,$E$5:$E$200,$J$54,$D$5:$D$200,K$55,$A$5:$A$200,VALUE(RIGHT($J59,1)))</f>
        <v/>
      </c>
      <c r="L59" s="40">
        <f>SUMIFS($G$5:$G$200,$E$5:$E$200,$J$54,$D$5:$D$200,L$55,$A$5:$A$200,VALUE(RIGHT($J59,1)))</f>
        <v/>
      </c>
      <c r="M59" s="40">
        <f>SUMIFS($G$5:$G$200,$E$5:$E$200,$J$54,$D$5:$D$200,M$55,$A$5:$A$200,VALUE(RIGHT($J59,1)))</f>
        <v/>
      </c>
      <c r="N59" s="40">
        <f>SUMIFS($G$5:$G$200,$E$5:$E$200,$J$54,$D$5:$D$200,N$55,$A$5:$A$200,VALUE(RIGHT($J59,1)))</f>
        <v/>
      </c>
      <c r="O59" s="40">
        <f>SUMIFS($G$5:$G$200,$E$5:$E$200,$J$54,$D$5:$D$200,O$55,$A$5:$A$200,VALUE(RIGHT($J59,1)))</f>
        <v/>
      </c>
      <c r="P59" s="40">
        <f>SUMIFS($G$5:$G$200,$E$5:$E$200,$J$54,$D$5:$D$200,P$55,$A$5:$A$200,VALUE(RIGHT($J59,1)))</f>
        <v/>
      </c>
      <c r="Q59" s="40">
        <f>SUMIFS($G$5:$G$200,$E$5:$E$200,$J$54,$D$5:$D$200,Q$55,$A$5:$A$200,VALUE(RIGHT($J59,1)))</f>
        <v/>
      </c>
      <c r="R59" s="40">
        <f>SUM(K59:Q59)</f>
        <v/>
      </c>
      <c r="S59" s="67">
        <f>IF(R59=0,0,M59/R59)</f>
        <v/>
      </c>
    </row>
    <row r="60" ht="14.25" customHeight="1" s="37">
      <c r="J60" s="57" t="inlineStr">
        <is>
          <t>Sprint 5</t>
        </is>
      </c>
      <c r="K60" s="40">
        <f>SUMIFS($G$5:$G$200,$E$5:$E$200,$J$54,$D$5:$D$200,K$55,$A$5:$A$200,VALUE(RIGHT($J60,1)))</f>
        <v/>
      </c>
      <c r="L60" s="40">
        <f>SUMIFS($G$5:$G$200,$E$5:$E$200,$J$54,$D$5:$D$200,L$55,$A$5:$A$200,VALUE(RIGHT($J60,1)))</f>
        <v/>
      </c>
      <c r="M60" s="40">
        <f>SUMIFS($G$5:$G$200,$E$5:$E$200,$J$54,$D$5:$D$200,M$55,$A$5:$A$200,VALUE(RIGHT($J60,1)))</f>
        <v/>
      </c>
      <c r="N60" s="40">
        <f>SUMIFS($G$5:$G$200,$E$5:$E$200,$J$54,$D$5:$D$200,N$55,$A$5:$A$200,VALUE(RIGHT($J60,1)))</f>
        <v/>
      </c>
      <c r="O60" s="40">
        <f>SUMIFS($G$5:$G$200,$E$5:$E$200,$J$54,$D$5:$D$200,O$55,$A$5:$A$200,VALUE(RIGHT($J60,1)))</f>
        <v/>
      </c>
      <c r="P60" s="40">
        <f>SUMIFS($G$5:$G$200,$E$5:$E$200,$J$54,$D$5:$D$200,P$55,$A$5:$A$200,VALUE(RIGHT($J60,1)))</f>
        <v/>
      </c>
      <c r="Q60" s="40">
        <f>SUMIFS($G$5:$G$200,$E$5:$E$200,$J$54,$D$5:$D$200,Q$55,$A$5:$A$200,VALUE(RIGHT($J60,1)))</f>
        <v/>
      </c>
      <c r="R60" s="40">
        <f>SUM(K60:Q60)</f>
        <v/>
      </c>
      <c r="S60" s="67">
        <f>IF(R60=0,0,M60/R60)</f>
        <v/>
      </c>
    </row>
    <row r="61" ht="14.25" customHeight="1" s="37">
      <c r="J61" s="57" t="inlineStr">
        <is>
          <t>Sprint 6</t>
        </is>
      </c>
      <c r="K61" s="40">
        <f>SUMIFS($G$5:$G$200,$E$5:$E$200,$J$54,$D$5:$D$200,K$55,$A$5:$A$200,VALUE(RIGHT($J61,1)))</f>
        <v/>
      </c>
      <c r="L61" s="40">
        <f>SUMIFS($G$5:$G$200,$E$5:$E$200,$J$54,$D$5:$D$200,L$55,$A$5:$A$200,VALUE(RIGHT($J61,1)))</f>
        <v/>
      </c>
      <c r="M61" s="40">
        <f>SUMIFS($G$5:$G$200,$E$5:$E$200,$J$54,$D$5:$D$200,M$55,$A$5:$A$200,VALUE(RIGHT($J61,1)))</f>
        <v/>
      </c>
      <c r="N61" s="40">
        <f>SUMIFS($G$5:$G$200,$E$5:$E$200,$J$54,$D$5:$D$200,N$55,$A$5:$A$200,VALUE(RIGHT($J61,1)))</f>
        <v/>
      </c>
      <c r="O61" s="40">
        <f>SUMIFS($G$5:$G$200,$E$5:$E$200,$J$54,$D$5:$D$200,O$55,$A$5:$A$200,VALUE(RIGHT($J61,1)))</f>
        <v/>
      </c>
      <c r="P61" s="40">
        <f>SUMIFS($G$5:$G$200,$E$5:$E$200,$J$54,$D$5:$D$200,P$55,$A$5:$A$200,VALUE(RIGHT($J61,1)))</f>
        <v/>
      </c>
      <c r="Q61" s="40">
        <f>SUMIFS($G$5:$G$200,$E$5:$E$200,$J$54,$D$5:$D$200,Q$55,$A$5:$A$200,VALUE(RIGHT($J61,1)))</f>
        <v/>
      </c>
      <c r="R61" s="40">
        <f>SUM(K61:Q61)</f>
        <v/>
      </c>
      <c r="S61" s="67">
        <f>IF(R61=0,0,M61/R61)</f>
        <v/>
      </c>
    </row>
    <row r="62" ht="14.25" customHeight="1" s="37">
      <c r="J62" s="57" t="inlineStr">
        <is>
          <t>Sprint 7</t>
        </is>
      </c>
      <c r="K62" s="40">
        <f>SUMIFS($G$5:$G$200,$E$5:$E$200,$J$54,$D$5:$D$200,K$55,$A$5:$A$200,VALUE(RIGHT($J62,1)))</f>
        <v/>
      </c>
      <c r="L62" s="40">
        <f>SUMIFS($G$5:$G$200,$E$5:$E$200,$J$54,$D$5:$D$200,L$55,$A$5:$A$200,VALUE(RIGHT($J62,1)))</f>
        <v/>
      </c>
      <c r="M62" s="40">
        <f>SUMIFS($G$5:$G$200,$E$5:$E$200,$J$54,$D$5:$D$200,M$55,$A$5:$A$200,VALUE(RIGHT($J62,1)))</f>
        <v/>
      </c>
      <c r="N62" s="40">
        <f>SUMIFS($G$5:$G$200,$E$5:$E$200,$J$54,$D$5:$D$200,N$55,$A$5:$A$200,VALUE(RIGHT($J62,1)))</f>
        <v/>
      </c>
      <c r="O62" s="40">
        <f>SUMIFS($G$5:$G$200,$E$5:$E$200,$J$54,$D$5:$D$200,O$55,$A$5:$A$200,VALUE(RIGHT($J62,1)))</f>
        <v/>
      </c>
      <c r="P62" s="40">
        <f>SUMIFS($G$5:$G$200,$E$5:$E$200,$J$54,$D$5:$D$200,P$55,$A$5:$A$200,VALUE(RIGHT($J62,1)))</f>
        <v/>
      </c>
      <c r="Q62" s="40">
        <f>SUMIFS($G$5:$G$200,$E$5:$E$200,$J$54,$D$5:$D$200,Q$55,$A$5:$A$200,VALUE(RIGHT($J62,1)))</f>
        <v/>
      </c>
      <c r="R62" s="40">
        <f>SUM(K62:Q62)</f>
        <v/>
      </c>
      <c r="S62" s="67">
        <f>IF(R62=0,0,M62/R62)</f>
        <v/>
      </c>
    </row>
    <row r="63" ht="14.25" customHeight="1" s="37">
      <c r="J63" s="57" t="inlineStr">
        <is>
          <t>Sprint 8</t>
        </is>
      </c>
      <c r="K63" s="40">
        <f>SUMIFS($G$5:$G$200,$E$5:$E$200,$J$54,$D$5:$D$200,K$55,$A$5:$A$200,VALUE(RIGHT($J63,1)))</f>
        <v/>
      </c>
      <c r="L63" s="61">
        <f>SUMIFS($G$5:$G$200,$E$5:$E$200,$J$54,$D$5:$D$200,L$55,$A$5:$A$200,VALUE(RIGHT($J63,1)))</f>
        <v/>
      </c>
      <c r="M63" s="40">
        <f>SUMIFS($G$5:$G$200,$E$5:$E$200,$J$54,$D$5:$D$200,M$55,$A$5:$A$200,VALUE(RIGHT($J63,1)))</f>
        <v/>
      </c>
      <c r="N63" s="40">
        <f>SUMIFS($G$5:$G$200,$E$5:$E$200,$J$54,$D$5:$D$200,N$55,$A$5:$A$200,VALUE(RIGHT($J63,1)))</f>
        <v/>
      </c>
      <c r="O63" s="40">
        <f>SUMIFS($G$5:$G$200,$E$5:$E$200,$J$54,$D$5:$D$200,O$55,$A$5:$A$200,VALUE(RIGHT($J63,1)))</f>
        <v/>
      </c>
      <c r="P63" s="40">
        <f>SUMIFS($G$5:$G$200,$E$5:$E$200,$J$54,$D$5:$D$200,P$55,$A$5:$A$200,VALUE(RIGHT($J63,1)))</f>
        <v/>
      </c>
      <c r="Q63" s="40">
        <f>SUMIFS($G$5:$G$200,$E$5:$E$200,$J$54,$D$5:$D$200,Q$55,$A$5:$A$200,VALUE(RIGHT($J63,1)))</f>
        <v/>
      </c>
      <c r="R63" s="40">
        <f>SUM(K63:Q63)</f>
        <v/>
      </c>
      <c r="S63" s="67">
        <f>IF(R63=0,0,M63/R63)</f>
        <v/>
      </c>
    </row>
    <row r="64" ht="14.25" customHeight="1" s="37">
      <c r="J64" s="62" t="inlineStr">
        <is>
          <t>Итого</t>
        </is>
      </c>
      <c r="K64" s="63">
        <f>SUM(K56:K63)</f>
        <v/>
      </c>
      <c r="L64" s="63">
        <f>SUM(L56:L63)</f>
        <v/>
      </c>
      <c r="M64" s="63">
        <f>SUM(M56:M63)</f>
        <v/>
      </c>
      <c r="N64" s="63">
        <f>SUM(N56:N63)</f>
        <v/>
      </c>
      <c r="O64" s="63">
        <f>SUM(O56:O63)</f>
        <v/>
      </c>
      <c r="P64" s="63">
        <f>SUM(P56:P63)</f>
        <v/>
      </c>
      <c r="Q64" s="63">
        <f>SUM(Q56:Q63)</f>
        <v/>
      </c>
      <c r="R64" s="62">
        <f>SUM(K64:Q64)</f>
        <v/>
      </c>
      <c r="S64" s="67">
        <f>IF(R64=0,0,M64/R64)</f>
        <v/>
      </c>
    </row>
    <row r="67" ht="14.25" customHeight="1" s="37">
      <c r="J67" s="68" t="inlineStr">
        <is>
          <t>Антон</t>
        </is>
      </c>
    </row>
    <row r="68" ht="14.25" customHeight="1" s="37">
      <c r="J68" s="57" t="inlineStr">
        <is>
          <t>Категории</t>
        </is>
      </c>
      <c r="K68" s="57" t="inlineStr">
        <is>
          <t>org</t>
        </is>
      </c>
      <c r="L68" s="57" t="inlineStr">
        <is>
          <t>doc</t>
        </is>
      </c>
      <c r="M68" s="57" t="inlineStr">
        <is>
          <t>study</t>
        </is>
      </c>
      <c r="N68" s="57" t="inlineStr">
        <is>
          <t>BE</t>
        </is>
      </c>
      <c r="O68" s="57" t="inlineStr">
        <is>
          <t>FE</t>
        </is>
      </c>
      <c r="P68" s="57" t="inlineStr">
        <is>
          <t>tests</t>
        </is>
      </c>
      <c r="Q68" s="57" t="inlineStr">
        <is>
          <t>env</t>
        </is>
      </c>
      <c r="R68" s="57" t="inlineStr">
        <is>
          <t>Суммарно</t>
        </is>
      </c>
      <c r="S68" s="65" t="inlineStr">
        <is>
          <t>%study/project</t>
        </is>
      </c>
    </row>
    <row r="69" ht="14.25" customHeight="1" s="37">
      <c r="J69" s="57" t="inlineStr">
        <is>
          <t>Sprint 1</t>
        </is>
      </c>
      <c r="K69" s="40">
        <f>SUMIFS($G$5:$G$200,$E$5:$E$200,$J$67,$D$5:$D$200,K$68,$A$5:$A$200,VALUE(RIGHT($J69,1)))</f>
        <v/>
      </c>
      <c r="L69" s="40">
        <f>SUMIFS($G$5:$G$200,$E$5:$E$200,$J$67,$D$5:$D$200,L$68,$A$5:$A$200,VALUE(RIGHT($J69,1)))</f>
        <v/>
      </c>
      <c r="M69" s="40">
        <f>SUMIFS($G$5:$G$200,$E$5:$E$200,$J$67,$D$5:$D$200,M$68,$A$5:$A$200,VALUE(RIGHT($J69,1)))</f>
        <v/>
      </c>
      <c r="N69" s="40">
        <f>SUMIFS($G$5:$G$200,$E$5:$E$200,$J$67,$D$5:$D$200,N$68,$A$5:$A$200,VALUE(RIGHT($J69,1)))</f>
        <v/>
      </c>
      <c r="O69" s="40">
        <f>SUMIFS($G$5:$G$200,$E$5:$E$200,$J$67,$D$5:$D$200,O$68,$A$5:$A$200,VALUE(RIGHT($J69,1)))</f>
        <v/>
      </c>
      <c r="P69" s="40">
        <f>SUMIFS($G$5:$G$200,$E$5:$E$200,$J$67,$D$5:$D$200,P$68,$A$5:$A$200,VALUE(RIGHT($J69,1)))</f>
        <v/>
      </c>
      <c r="Q69" s="40">
        <f>SUMIFS($G$5:$G$200,$E$5:$E$200,$J$67,$D$5:$D$200,Q$68,$A$5:$A$200,VALUE(RIGHT($J69,1)))</f>
        <v/>
      </c>
      <c r="R69" s="40">
        <f>SUM(K69:Q69)</f>
        <v/>
      </c>
      <c r="S69" s="67">
        <f>IF(R69=0,0,M69/R69)</f>
        <v/>
      </c>
    </row>
    <row r="70" ht="14.25" customHeight="1" s="37">
      <c r="J70" s="57" t="inlineStr">
        <is>
          <t>Sprint 2</t>
        </is>
      </c>
      <c r="K70" s="40">
        <f>SUMIFS($G$5:$G$200,$E$5:$E$200,$J$67,$D$5:$D$200,K$68,$A$5:$A$200,VALUE(RIGHT($J70,1)))</f>
        <v/>
      </c>
      <c r="L70" s="40">
        <f>SUMIFS($G$5:$G$200,$E$5:$E$200,$J$67,$D$5:$D$200,L$68,$A$5:$A$200,VALUE(RIGHT($J70,1)))</f>
        <v/>
      </c>
      <c r="M70" s="40">
        <f>SUMIFS($G$5:$G$200,$E$5:$E$200,$J$67,$D$5:$D$200,M$68,$A$5:$A$200,VALUE(RIGHT($J70,1)))</f>
        <v/>
      </c>
      <c r="N70" s="40">
        <f>SUMIFS($G$5:$G$200,$E$5:$E$200,$J$67,$D$5:$D$200,N$68,$A$5:$A$200,VALUE(RIGHT($J70,1)))</f>
        <v/>
      </c>
      <c r="O70" s="40">
        <f>SUMIFS($G$5:$G$200,$E$5:$E$200,$J$67,$D$5:$D$200,O$68,$A$5:$A$200,VALUE(RIGHT($J70,1)))</f>
        <v/>
      </c>
      <c r="P70" s="40">
        <f>SUMIFS($G$5:$G$200,$E$5:$E$200,$J$67,$D$5:$D$200,P$68,$A$5:$A$200,VALUE(RIGHT($J70,1)))</f>
        <v/>
      </c>
      <c r="Q70" s="40">
        <f>SUMIFS($G$5:$G$200,$E$5:$E$200,$J$67,$D$5:$D$200,Q$68,$A$5:$A$200,VALUE(RIGHT($J70,1)))</f>
        <v/>
      </c>
      <c r="R70" s="40">
        <f>SUM(K70:Q70)</f>
        <v/>
      </c>
      <c r="S70" s="67">
        <f>IF(R70=0,0,M70/R70)</f>
        <v/>
      </c>
    </row>
    <row r="71" ht="14.25" customHeight="1" s="37">
      <c r="J71" s="57" t="inlineStr">
        <is>
          <t>Sprint 3</t>
        </is>
      </c>
      <c r="K71" s="40">
        <f>SUMIFS($G$5:$G$200,$E$5:$E$200,$J$67,$D$5:$D$200,K$68,$A$5:$A$200,VALUE(RIGHT($J71,1)))</f>
        <v/>
      </c>
      <c r="L71" s="40">
        <f>SUMIFS($G$5:$G$200,$E$5:$E$200,$J$67,$D$5:$D$200,L$68,$A$5:$A$200,VALUE(RIGHT($J71,1)))</f>
        <v/>
      </c>
      <c r="M71" s="40">
        <f>SUMIFS($G$5:$G$200,$E$5:$E$200,$J$67,$D$5:$D$200,M$68,$A$5:$A$200,VALUE(RIGHT($J71,1)))</f>
        <v/>
      </c>
      <c r="N71" s="40">
        <f>SUMIFS($G$5:$G$200,$E$5:$E$200,$J$67,$D$5:$D$200,N$68,$A$5:$A$200,VALUE(RIGHT($J71,1)))</f>
        <v/>
      </c>
      <c r="O71" s="40">
        <f>SUMIFS($G$5:$G$200,$E$5:$E$200,$J$67,$D$5:$D$200,O$68,$A$5:$A$200,VALUE(RIGHT($J71,1)))</f>
        <v/>
      </c>
      <c r="P71" s="40">
        <f>SUMIFS($G$5:$G$200,$E$5:$E$200,$J$67,$D$5:$D$200,P$68,$A$5:$A$200,VALUE(RIGHT($J71,1)))</f>
        <v/>
      </c>
      <c r="Q71" s="40">
        <f>SUMIFS($G$5:$G$200,$E$5:$E$200,$J$67,$D$5:$D$200,Q$68,$A$5:$A$200,VALUE(RIGHT($J71,1)))</f>
        <v/>
      </c>
      <c r="R71" s="40">
        <f>SUM(K71:Q71)</f>
        <v/>
      </c>
      <c r="S71" s="67">
        <f>IF(R71=0,0,M71/R71)</f>
        <v/>
      </c>
    </row>
    <row r="72" ht="14.25" customHeight="1" s="37">
      <c r="J72" s="57" t="inlineStr">
        <is>
          <t>Sprint 4</t>
        </is>
      </c>
      <c r="K72" s="40">
        <f>SUMIFS($G$5:$G$200,$E$5:$E$200,$J$67,$D$5:$D$200,K$68,$A$5:$A$200,VALUE(RIGHT($J72,1)))</f>
        <v/>
      </c>
      <c r="L72" s="40">
        <f>SUMIFS($G$5:$G$200,$E$5:$E$200,$J$67,$D$5:$D$200,L$68,$A$5:$A$200,VALUE(RIGHT($J72,1)))</f>
        <v/>
      </c>
      <c r="M72" s="40">
        <f>SUMIFS($G$5:$G$200,$E$5:$E$200,$J$67,$D$5:$D$200,M$68,$A$5:$A$200,VALUE(RIGHT($J72,1)))</f>
        <v/>
      </c>
      <c r="N72" s="40">
        <f>SUMIFS($G$5:$G$200,$E$5:$E$200,$J$67,$D$5:$D$200,N$68,$A$5:$A$200,VALUE(RIGHT($J72,1)))</f>
        <v/>
      </c>
      <c r="O72" s="40">
        <f>SUMIFS($G$5:$G$200,$E$5:$E$200,$J$67,$D$5:$D$200,O$68,$A$5:$A$200,VALUE(RIGHT($J72,1)))</f>
        <v/>
      </c>
      <c r="P72" s="40">
        <f>SUMIFS($G$5:$G$200,$E$5:$E$200,$J$67,$D$5:$D$200,P$68,$A$5:$A$200,VALUE(RIGHT($J72,1)))</f>
        <v/>
      </c>
      <c r="Q72" s="40">
        <f>SUMIFS($G$5:$G$200,$E$5:$E$200,$J$67,$D$5:$D$200,Q$68,$A$5:$A$200,VALUE(RIGHT($J72,1)))</f>
        <v/>
      </c>
      <c r="R72" s="40">
        <f>SUM(K72:Q72)</f>
        <v/>
      </c>
      <c r="S72" s="67">
        <f>IF(R72=0,0,M72/R72)</f>
        <v/>
      </c>
    </row>
    <row r="73" ht="14.25" customHeight="1" s="37">
      <c r="J73" s="57" t="inlineStr">
        <is>
          <t>Sprint 5</t>
        </is>
      </c>
      <c r="K73" s="40">
        <f>SUMIFS($G$5:$G$200,$E$5:$E$200,$J$67,$D$5:$D$200,K$68,$A$5:$A$200,VALUE(RIGHT($J73,1)))</f>
        <v/>
      </c>
      <c r="L73" s="40">
        <f>SUMIFS($G$5:$G$200,$E$5:$E$200,$J$67,$D$5:$D$200,L$68,$A$5:$A$200,VALUE(RIGHT($J73,1)))</f>
        <v/>
      </c>
      <c r="M73" s="40">
        <f>SUMIFS($G$5:$G$200,$E$5:$E$200,$J$67,$D$5:$D$200,M$68,$A$5:$A$200,VALUE(RIGHT($J73,1)))</f>
        <v/>
      </c>
      <c r="N73" s="40">
        <f>SUMIFS($G$5:$G$200,$E$5:$E$200,$J$67,$D$5:$D$200,N$68,$A$5:$A$200,VALUE(RIGHT($J73,1)))</f>
        <v/>
      </c>
      <c r="O73" s="40">
        <f>SUMIFS($G$5:$G$200,$E$5:$E$200,$J$67,$D$5:$D$200,O$68,$A$5:$A$200,VALUE(RIGHT($J73,1)))</f>
        <v/>
      </c>
      <c r="P73" s="40">
        <f>SUMIFS($G$5:$G$200,$E$5:$E$200,$J$67,$D$5:$D$200,P$68,$A$5:$A$200,VALUE(RIGHT($J73,1)))</f>
        <v/>
      </c>
      <c r="Q73" s="40">
        <f>SUMIFS($G$5:$G$200,$E$5:$E$200,$J$67,$D$5:$D$200,Q$68,$A$5:$A$200,VALUE(RIGHT($J73,1)))</f>
        <v/>
      </c>
      <c r="R73" s="40">
        <f>SUM(K73:Q73)</f>
        <v/>
      </c>
      <c r="S73" s="67">
        <f>IF(R73=0,0,M73/R73)</f>
        <v/>
      </c>
    </row>
    <row r="74" ht="14.25" customHeight="1" s="37">
      <c r="J74" s="57" t="inlineStr">
        <is>
          <t>Sprint 6</t>
        </is>
      </c>
      <c r="K74" s="40">
        <f>SUMIFS($G$5:$G$200,$E$5:$E$200,$J$67,$D$5:$D$200,K$68,$A$5:$A$200,VALUE(RIGHT($J74,1)))</f>
        <v/>
      </c>
      <c r="L74" s="40">
        <f>SUMIFS($G$5:$G$200,$E$5:$E$200,$J$67,$D$5:$D$200,L$68,$A$5:$A$200,VALUE(RIGHT($J74,1)))</f>
        <v/>
      </c>
      <c r="M74" s="40">
        <f>SUMIFS($G$5:$G$200,$E$5:$E$200,$J$67,$D$5:$D$200,M$68,$A$5:$A$200,VALUE(RIGHT($J74,1)))</f>
        <v/>
      </c>
      <c r="N74" s="40">
        <f>SUMIFS($G$5:$G$200,$E$5:$E$200,$J$67,$D$5:$D$200,N$68,$A$5:$A$200,VALUE(RIGHT($J74,1)))</f>
        <v/>
      </c>
      <c r="O74" s="40">
        <f>SUMIFS($G$5:$G$200,$E$5:$E$200,$J$67,$D$5:$D$200,O$68,$A$5:$A$200,VALUE(RIGHT($J74,1)))</f>
        <v/>
      </c>
      <c r="P74" s="40">
        <f>SUMIFS($G$5:$G$200,$E$5:$E$200,$J$67,$D$5:$D$200,P$68,$A$5:$A$200,VALUE(RIGHT($J74,1)))</f>
        <v/>
      </c>
      <c r="Q74" s="40">
        <f>SUMIFS($G$5:$G$200,$E$5:$E$200,$J$67,$D$5:$D$200,Q$68,$A$5:$A$200,VALUE(RIGHT($J74,1)))</f>
        <v/>
      </c>
      <c r="R74" s="40">
        <f>SUM(K74:Q74)</f>
        <v/>
      </c>
      <c r="S74" s="67">
        <f>IF(R74=0,0,M74/R74)</f>
        <v/>
      </c>
    </row>
    <row r="75" ht="14.25" customHeight="1" s="37">
      <c r="J75" s="57" t="inlineStr">
        <is>
          <t>Sprint 7</t>
        </is>
      </c>
      <c r="K75" s="40">
        <f>SUMIFS($G$5:$G$200,$E$5:$E$200,$J$67,$D$5:$D$200,K$68,$A$5:$A$200,VALUE(RIGHT($J75,1)))</f>
        <v/>
      </c>
      <c r="L75" s="40">
        <f>SUMIFS($G$5:$G$200,$E$5:$E$200,$J$67,$D$5:$D$200,L$68,$A$5:$A$200,VALUE(RIGHT($J75,1)))</f>
        <v/>
      </c>
      <c r="M75" s="40">
        <f>SUMIFS($G$5:$G$200,$E$5:$E$200,$J$67,$D$5:$D$200,M$68,$A$5:$A$200,VALUE(RIGHT($J75,1)))</f>
        <v/>
      </c>
      <c r="N75" s="40">
        <f>SUMIFS($G$5:$G$200,$E$5:$E$200,$J$67,$D$5:$D$200,N$68,$A$5:$A$200,VALUE(RIGHT($J75,1)))</f>
        <v/>
      </c>
      <c r="O75" s="40">
        <f>SUMIFS($G$5:$G$200,$E$5:$E$200,$J$67,$D$5:$D$200,O$68,$A$5:$A$200,VALUE(RIGHT($J75,1)))</f>
        <v/>
      </c>
      <c r="P75" s="40">
        <f>SUMIFS($G$5:$G$200,$E$5:$E$200,$J$67,$D$5:$D$200,P$68,$A$5:$A$200,VALUE(RIGHT($J75,1)))</f>
        <v/>
      </c>
      <c r="Q75" s="40">
        <f>SUMIFS($G$5:$G$200,$E$5:$E$200,$J$67,$D$5:$D$200,Q$68,$A$5:$A$200,VALUE(RIGHT($J75,1)))</f>
        <v/>
      </c>
      <c r="R75" s="40">
        <f>SUM(K75:Q75)</f>
        <v/>
      </c>
      <c r="S75" s="67">
        <f>IF(R75=0,0,M75/R75)</f>
        <v/>
      </c>
    </row>
    <row r="76" ht="14.25" customHeight="1" s="37">
      <c r="J76" s="57" t="inlineStr">
        <is>
          <t>Sprint 8</t>
        </is>
      </c>
      <c r="K76" s="40">
        <f>SUMIFS($G$5:$G$200,$E$5:$E$200,$J$67,$D$5:$D$200,K$68,$A$5:$A$200,VALUE(RIGHT($J76,1)))</f>
        <v/>
      </c>
      <c r="L76" s="61">
        <f>SUMIFS($G$5:$G$200,$E$5:$E$200,$J$67,$D$5:$D$200,L$68,$A$5:$A$200,VALUE(RIGHT($J76,1)))</f>
        <v/>
      </c>
      <c r="M76" s="40">
        <f>SUMIFS($G$5:$G$200,$E$5:$E$200,$J$67,$D$5:$D$200,M$68,$A$5:$A$200,VALUE(RIGHT($J76,1)))</f>
        <v/>
      </c>
      <c r="N76" s="40">
        <f>SUMIFS($G$5:$G$200,$E$5:$E$200,$J$67,$D$5:$D$200,N$68,$A$5:$A$200,VALUE(RIGHT($J76,1)))</f>
        <v/>
      </c>
      <c r="O76" s="40">
        <f>SUMIFS($G$5:$G$200,$E$5:$E$200,$J$67,$D$5:$D$200,O$68,$A$5:$A$200,VALUE(RIGHT($J76,1)))</f>
        <v/>
      </c>
      <c r="P76" s="40">
        <f>SUMIFS($G$5:$G$200,$E$5:$E$200,$J$67,$D$5:$D$200,P$68,$A$5:$A$200,VALUE(RIGHT($J76,1)))</f>
        <v/>
      </c>
      <c r="Q76" s="40">
        <f>SUMIFS($G$5:$G$200,$E$5:$E$200,$J$67,$D$5:$D$200,Q$68,$A$5:$A$200,VALUE(RIGHT($J76,1)))</f>
        <v/>
      </c>
      <c r="R76" s="40">
        <f>SUM(K76:Q76)</f>
        <v/>
      </c>
      <c r="S76" s="67">
        <f>IF(R76=0,0,M76/R76)</f>
        <v/>
      </c>
    </row>
    <row r="77" ht="14.25" customHeight="1" s="37">
      <c r="J77" s="62" t="inlineStr">
        <is>
          <t>Итого</t>
        </is>
      </c>
      <c r="K77" s="63">
        <f>SUM(K69:K76)</f>
        <v/>
      </c>
      <c r="L77" s="63">
        <f>SUM(L69:L76)</f>
        <v/>
      </c>
      <c r="M77" s="63">
        <f>SUM(M69:M76)</f>
        <v/>
      </c>
      <c r="N77" s="63">
        <f>SUM(N69:N76)</f>
        <v/>
      </c>
      <c r="O77" s="63">
        <f>SUM(O69:O76)</f>
        <v/>
      </c>
      <c r="P77" s="63">
        <f>SUM(P69:P76)</f>
        <v/>
      </c>
      <c r="Q77" s="63">
        <f>SUM(Q69:Q76)</f>
        <v/>
      </c>
      <c r="R77" s="62">
        <f>SUM(K77:Q77)</f>
        <v/>
      </c>
      <c r="S77" s="67">
        <f>IF(R77=0,0,M77/R77)</f>
        <v/>
      </c>
    </row>
  </sheetData>
  <mergeCells count="1">
    <mergeCell ref="F3:G3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2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36" min="1" max="1"/>
    <col width="16" customWidth="1" style="36" min="2" max="7"/>
  </cols>
  <sheetData>
    <row r="1" ht="17.35" customHeight="1" s="37">
      <c r="A1" s="69" t="inlineStr">
        <is>
          <t>Статистический анализ (данные из листа «Время работы команды»)</t>
        </is>
      </c>
    </row>
    <row r="3" ht="15" customHeight="1" s="37">
      <c r="A3" s="70" t="inlineStr">
        <is>
          <t>Время по категориям, ч</t>
        </is>
      </c>
      <c r="B3" s="71" t="n"/>
      <c r="C3" s="71" t="n"/>
      <c r="D3" s="71" t="n"/>
      <c r="E3" s="71" t="n"/>
      <c r="F3" s="71" t="n"/>
      <c r="G3" s="71" t="n"/>
    </row>
    <row r="4" ht="15" customHeight="1" s="37">
      <c r="A4" s="71">
        <f>'Время работы команды'!K16</f>
        <v/>
      </c>
      <c r="B4" s="71">
        <f>'Время работы команды'!L16</f>
        <v/>
      </c>
      <c r="C4" s="71">
        <f>'Время работы команды'!M16</f>
        <v/>
      </c>
      <c r="D4" s="71">
        <f>'Время работы команды'!N16</f>
        <v/>
      </c>
      <c r="E4" s="71">
        <f>'Время работы команды'!O16</f>
        <v/>
      </c>
      <c r="F4" s="71">
        <f>'Время работы команды'!P16</f>
        <v/>
      </c>
      <c r="G4" s="71">
        <f>'Время работы команды'!Q16</f>
        <v/>
      </c>
    </row>
    <row r="5" ht="15" customHeight="1" s="37">
      <c r="A5" s="71">
        <f>'Время работы команды'!K25</f>
        <v/>
      </c>
      <c r="B5" s="71">
        <f>'Время работы команды'!L25</f>
        <v/>
      </c>
      <c r="C5" s="71">
        <f>'Время работы команды'!M25</f>
        <v/>
      </c>
      <c r="D5" s="71">
        <f>'Время работы команды'!N25</f>
        <v/>
      </c>
      <c r="E5" s="71">
        <f>'Время работы команды'!O25</f>
        <v/>
      </c>
      <c r="F5" s="71">
        <f>'Время работы команды'!P25</f>
        <v/>
      </c>
      <c r="G5" s="71">
        <f>'Время работы команды'!Q25</f>
        <v/>
      </c>
    </row>
    <row r="6" ht="15" customHeight="1" s="37">
      <c r="A6" s="71" t="n"/>
      <c r="B6" s="71" t="n"/>
      <c r="C6" s="71" t="n"/>
      <c r="D6" s="71" t="n"/>
      <c r="E6" s="71" t="n"/>
      <c r="F6" s="71" t="n"/>
      <c r="G6" s="71" t="n"/>
    </row>
    <row r="7" ht="15" customHeight="1" s="37">
      <c r="A7" s="70" t="inlineStr">
        <is>
          <t>Вклад исполнителей, ч</t>
        </is>
      </c>
      <c r="B7" s="71" t="n"/>
      <c r="C7" s="71" t="n"/>
      <c r="D7" s="71" t="n"/>
      <c r="E7" s="71" t="n"/>
      <c r="F7" s="71" t="n"/>
      <c r="G7" s="71" t="n"/>
    </row>
    <row r="8" ht="15" customHeight="1" s="37">
      <c r="A8" s="71">
        <f>'Время работы команды'!K3</f>
        <v/>
      </c>
      <c r="B8" s="71">
        <f>'Время работы команды'!L3</f>
        <v/>
      </c>
      <c r="C8" s="71">
        <f>'Время работы команды'!M3</f>
        <v/>
      </c>
      <c r="D8" s="71">
        <f>'Время работы команды'!N3</f>
        <v/>
      </c>
      <c r="E8" s="71" t="n"/>
      <c r="F8" s="71" t="n"/>
      <c r="G8" s="71" t="n"/>
    </row>
    <row r="9" ht="15" customHeight="1" s="37">
      <c r="A9" s="71">
        <f>'Время работы команды'!K12</f>
        <v/>
      </c>
      <c r="B9" s="71">
        <f>'Время работы команды'!L12</f>
        <v/>
      </c>
      <c r="C9" s="71">
        <f>'Время работы команды'!M12</f>
        <v/>
      </c>
      <c r="D9" s="71">
        <f>'Время работы команды'!N12</f>
        <v/>
      </c>
      <c r="E9" s="71" t="n"/>
      <c r="F9" s="71" t="n"/>
      <c r="G9" s="71" t="n"/>
    </row>
    <row r="10" ht="15" customHeight="1" s="37">
      <c r="A10" s="71" t="n"/>
      <c r="B10" s="71" t="n"/>
      <c r="C10" s="71" t="n"/>
      <c r="D10" s="71" t="n"/>
      <c r="E10" s="71" t="n"/>
      <c r="F10" s="71" t="n"/>
      <c r="G10" s="71" t="n"/>
    </row>
    <row r="11" ht="15" customHeight="1" s="37">
      <c r="A11" s="70" t="inlineStr">
        <is>
          <t>Спринт: обучение vs проект, ч</t>
        </is>
      </c>
      <c r="B11" s="71" t="n"/>
      <c r="C11" s="71" t="n"/>
      <c r="D11" s="71" t="n"/>
      <c r="E11" s="71" t="n"/>
      <c r="F11" s="71" t="n"/>
      <c r="G11" s="71" t="n"/>
    </row>
    <row r="12" ht="15" customHeight="1" s="37">
      <c r="A12" s="71" t="inlineStr">
        <is>
          <t>Спринт</t>
        </is>
      </c>
      <c r="B12" s="71" t="inlineStr">
        <is>
          <t>Обучение (study)</t>
        </is>
      </c>
      <c r="C12" s="71" t="inlineStr">
        <is>
          <t>Проект</t>
        </is>
      </c>
      <c r="D12" s="71" t="inlineStr">
        <is>
          <t>% study/project</t>
        </is>
      </c>
      <c r="E12" s="71" t="n"/>
      <c r="F12" s="71" t="n"/>
      <c r="G12" s="71" t="n"/>
    </row>
    <row r="13" ht="15" customHeight="1" s="37">
      <c r="A13" s="71">
        <f>'Время работы команды'!J17</f>
        <v/>
      </c>
      <c r="B13" s="71">
        <f>'Время работы команды'!M17</f>
        <v/>
      </c>
      <c r="C13" s="71">
        <f>'Время работы команды'!R17-'Время работы команды'!M17</f>
        <v/>
      </c>
      <c r="D13" s="72">
        <f>'Время работы команды'!S17</f>
        <v/>
      </c>
      <c r="E13" s="71" t="n"/>
      <c r="F13" s="71" t="n"/>
      <c r="G13" s="71" t="n"/>
    </row>
    <row r="14" ht="15" customHeight="1" s="37">
      <c r="A14" s="71">
        <f>'Время работы команды'!J18</f>
        <v/>
      </c>
      <c r="B14" s="71">
        <f>'Время работы команды'!M18</f>
        <v/>
      </c>
      <c r="C14" s="71">
        <f>'Время работы команды'!R18-'Время работы команды'!M18</f>
        <v/>
      </c>
      <c r="D14" s="72">
        <f>'Время работы команды'!S18</f>
        <v/>
      </c>
      <c r="E14" s="71" t="n"/>
      <c r="F14" s="71" t="n"/>
      <c r="G14" s="71" t="n"/>
    </row>
    <row r="15" ht="15" customHeight="1" s="37">
      <c r="A15" s="71">
        <f>'Время работы команды'!J19</f>
        <v/>
      </c>
      <c r="B15" s="71">
        <f>'Время работы команды'!M19</f>
        <v/>
      </c>
      <c r="C15" s="71">
        <f>'Время работы команды'!R19-'Время работы команды'!M19</f>
        <v/>
      </c>
      <c r="D15" s="72">
        <f>'Время работы команды'!S19</f>
        <v/>
      </c>
      <c r="E15" s="71" t="n"/>
      <c r="F15" s="71" t="n"/>
      <c r="G15" s="71" t="n"/>
    </row>
    <row r="16" ht="15" customHeight="1" s="37">
      <c r="A16" s="70" t="inlineStr">
        <is>
          <t>Планируемое vs реальное время по спринтам, ч</t>
        </is>
      </c>
      <c r="B16" s="71" t="n"/>
      <c r="C16" s="71" t="n"/>
      <c r="D16" s="71" t="n"/>
      <c r="E16" s="71" t="n"/>
      <c r="F16" s="71" t="n"/>
      <c r="G16" s="71" t="n"/>
    </row>
    <row r="17" ht="15" customHeight="1" s="37">
      <c r="A17" s="71" t="inlineStr">
        <is>
          <t>Спринт</t>
        </is>
      </c>
      <c r="B17" s="71" t="inlineStr">
        <is>
          <t>План</t>
        </is>
      </c>
      <c r="C17" s="71" t="inlineStr">
        <is>
          <t>Факт</t>
        </is>
      </c>
      <c r="D17" s="71" t="n"/>
      <c r="E17" s="71" t="n"/>
      <c r="F17" s="71" t="n"/>
      <c r="G17" s="71" t="n"/>
    </row>
    <row r="18" ht="15" customHeight="1" s="37">
      <c r="A18" s="71">
        <f>"Sprint "&amp;'Скорость работы команды'!C3</f>
        <v/>
      </c>
      <c r="B18" s="71">
        <f>'Скорость работы команды'!C8</f>
        <v/>
      </c>
      <c r="C18" s="71">
        <f>'Скорость работы команды'!C9</f>
        <v/>
      </c>
      <c r="D18" s="71" t="n"/>
      <c r="E18" s="71" t="n"/>
      <c r="F18" s="71" t="n"/>
      <c r="G18" s="71" t="n"/>
    </row>
    <row r="19" ht="15" customHeight="1" s="37">
      <c r="A19" s="71">
        <f>"Sprint "&amp;'Скорость работы команды'!D3</f>
        <v/>
      </c>
      <c r="B19" s="71">
        <f>'Скорость работы команды'!D8</f>
        <v/>
      </c>
      <c r="C19" s="71">
        <f>'Скорость работы команды'!D9</f>
        <v/>
      </c>
      <c r="D19" s="71" t="n"/>
      <c r="E19" s="71" t="n"/>
      <c r="F19" s="71" t="n"/>
      <c r="G19" s="71" t="n"/>
    </row>
    <row r="20" ht="15" customHeight="1" s="37">
      <c r="A20" s="71">
        <f>"Sprint "&amp;'Скорость работы команды'!E3</f>
        <v/>
      </c>
      <c r="B20" s="71">
        <f>'Скорость работы команды'!E8</f>
        <v/>
      </c>
      <c r="C20" s="71">
        <f>'Скорость работы команды'!E9</f>
        <v/>
      </c>
      <c r="D20" s="71" t="n"/>
      <c r="E20" s="71" t="n"/>
      <c r="F20" s="71" t="n"/>
      <c r="G20" s="71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Volha Kazantsava</dc:creator>
  <dc:language xmlns:dc="http://purl.org/dc/elements/1.1/">en-US</dc:language>
  <dcterms:created xmlns:dcterms="http://purl.org/dc/terms/" xmlns:xsi="http://www.w3.org/2001/XMLSchema-instance" xsi:type="dcterms:W3CDTF">2024-05-19T08:33:32Z</dcterms:created>
  <dcterms:modified xmlns:dcterms="http://purl.org/dc/terms/" xmlns:xsi="http://www.w3.org/2001/XMLSchema-instance" xsi:type="dcterms:W3CDTF">2026-10-09T14:21:38Z</dcterms:modified>
  <cp:revision>1</cp:revision>
</cp:coreProperties>
</file>